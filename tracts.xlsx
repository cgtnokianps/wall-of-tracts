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nokia.sharepoint.com/sites/CGT39/Shared Documents/salariés/tracts diffusés/"/>
    </mc:Choice>
  </mc:AlternateContent>
  <xr:revisionPtr revIDLastSave="1207" documentId="11_F25DC773A252ABDACC1048BDC11F63425BDE58E3" xr6:coauthVersionLast="47" xr6:coauthVersionMax="47" xr10:uidLastSave="{BC463324-B38D-43C2-A0CD-71F36FCC8D97}"/>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1" l="1"/>
  <c r="H28" i="1"/>
  <c r="H29" i="1"/>
  <c r="H30" i="1"/>
  <c r="H31" i="1"/>
  <c r="H32" i="1"/>
  <c r="H33" i="1"/>
  <c r="H34" i="1"/>
  <c r="H35" i="1"/>
  <c r="H36" i="1"/>
  <c r="H37" i="1"/>
  <c r="H53" i="1"/>
  <c r="H52" i="1"/>
  <c r="H51" i="1"/>
  <c r="H50" i="1"/>
  <c r="H49" i="1"/>
  <c r="H48" i="1"/>
  <c r="H47" i="1"/>
  <c r="H46" i="1"/>
  <c r="H45" i="1"/>
  <c r="H44" i="1"/>
  <c r="H43" i="1"/>
  <c r="H42" i="1"/>
  <c r="H41" i="1"/>
  <c r="H40" i="1"/>
  <c r="H39" i="1"/>
  <c r="H38" i="1"/>
  <c r="H26" i="1"/>
  <c r="H25" i="1"/>
  <c r="H24" i="1"/>
  <c r="H23" i="1"/>
  <c r="H22" i="1"/>
  <c r="H21" i="1"/>
  <c r="H20" i="1"/>
  <c r="H19" i="1"/>
  <c r="H18" i="1"/>
  <c r="H17" i="1"/>
  <c r="H16" i="1"/>
  <c r="H15" i="1"/>
  <c r="H14" i="1"/>
  <c r="H13" i="1"/>
  <c r="H12" i="1"/>
  <c r="H11" i="1"/>
  <c r="H9" i="1"/>
  <c r="H8" i="1"/>
  <c r="H7" i="1"/>
  <c r="H6" i="1"/>
  <c r="H5" i="1"/>
  <c r="H4" i="1"/>
  <c r="H3" i="1"/>
  <c r="H2" i="1"/>
  <c r="E2" i="1"/>
</calcChain>
</file>

<file path=xl/sharedStrings.xml><?xml version="1.0" encoding="utf-8"?>
<sst xmlns="http://schemas.openxmlformats.org/spreadsheetml/2006/main" count="286" uniqueCount="241">
  <si>
    <t>Année</t>
  </si>
  <si>
    <t>ID</t>
  </si>
  <si>
    <t>Titre (tractsData)</t>
  </si>
  <si>
    <t>Santé et Prévoyance — ce qui change en 2022</t>
  </si>
  <si>
    <t/>
  </si>
  <si>
    <t>Désaccords en cascade</t>
  </si>
  <si>
    <t>Brèves d'été</t>
  </si>
  <si>
    <t>Déménagement : la CGT vous informe</t>
  </si>
  <si>
    <t>Manif du 29 septembre — Candidatures aux élections</t>
  </si>
  <si>
    <t>Ce que veulent les cadres — Baromètre UGICT / Viavoice</t>
  </si>
  <si>
    <t>Retour du sondage CGT sur les navettes</t>
  </si>
  <si>
    <t>Les navettes, quelle galère !</t>
  </si>
  <si>
    <t>Radar Travail et Environnement</t>
  </si>
  <si>
    <t>Le saviez-vous ?</t>
  </si>
  <si>
    <t>Les points sur les i</t>
  </si>
  <si>
    <t>Élections professionnelles : choisir son camp</t>
  </si>
  <si>
    <t>Enjeu salaires 2022</t>
  </si>
  <si>
    <t>Les sondages CGT</t>
  </si>
  <si>
    <t>Négociation Télétravail</t>
  </si>
  <si>
    <t>Bilan des accords signés par la CGT</t>
  </si>
  <si>
    <t>Brèves de printemps</t>
  </si>
  <si>
    <t>Représentativité syndicale après les élections de 2022, rejet de l'accord NAO 2023, accord égalité professionnelle, nouvelle convention collective de la métallurgie, démantèlement de RFS France, réforme des retraites et pollution au III-V Lab.</t>
  </si>
  <si>
    <t>Volontariat RCC : des motifs de vigilance</t>
  </si>
  <si>
    <t>Rentrée 2023 - RCC</t>
  </si>
  <si>
    <t>Conditions du volontariat dans le cadre de la RCC et points de vigilance pour les salariés concernés.</t>
  </si>
  <si>
    <t>Les Midpoints : des repères salariaux hors sol, des process pour nous enfumer, une direction qui ment</t>
  </si>
  <si>
    <t>Rentrée 2023 - Midpoints</t>
  </si>
  <si>
    <t>Critique des repères salariaux « Midpoints », de leur manque de transparence et de leur usage dans les processus de rémunération.</t>
  </si>
  <si>
    <t>La com infantilisante d'une direction Nokia France en perdition</t>
  </si>
  <si>
    <t>Sur la Com. de Nokia ... A l'occasion de la journée mondiale de l'INTEGRITE ! + APPEL MANIF INTERSYNDICALE VENDREDI 13 !</t>
  </si>
  <si>
    <t>Critique de la communication interne de la direction française, avec relais de l'appel intersyndical à la mobilisation du 13 octobre 2023.</t>
  </si>
  <si>
    <t>La CGT dénonce l'arrestation de ses militants dans le Nord</t>
  </si>
  <si>
    <t>Communication dénonçant l'arrestation de militants de la CGT dans le Nord.</t>
  </si>
  <si>
    <t>Vent glacial depuis la Finlande !</t>
  </si>
  <si>
    <t>Automne 2023 : Vent glacial depuis la Finlande</t>
  </si>
  <si>
    <t>Annonces de la direction du groupe et leurs conséquences pour NCCN, la RCC et le Radar Travail et Environnement.</t>
  </si>
  <si>
    <t>Et toi alors, t'es coté combien ?</t>
  </si>
  <si>
    <t>Nouvelle convention collective, cotation des postes et conséquences sur la classification des emplois.</t>
  </si>
  <si>
    <t>Cotation et réorganisation sous le sapin — Mais pourquoi tant de (M)N !</t>
  </si>
  <si>
    <t>Mais Pourquoi tant de (M)N ?</t>
  </si>
  <si>
    <t>Cotation des emplois, passage cadre, RCC et réorganisation de MN.</t>
  </si>
  <si>
    <t>Réorganisation MN — Des couleuvres ou des spaghettis ?</t>
  </si>
  <si>
    <t>MN : Des couleuvres ou des spaghettis</t>
  </si>
  <si>
    <t>Nouvelle organisation de MN concernant 520 salariés, transfert d'activités vers la Pologne et site de Wroclaw.</t>
  </si>
  <si>
    <t>NAO → RCC → REPEAT — L'urgence de la radicalité</t>
  </si>
  <si>
    <t>L'urgence de la radicalité</t>
  </si>
  <si>
    <t>Augmentations salariales 2024 après les NAO et leur répartition entre les salariés.</t>
  </si>
  <si>
    <t>Profession de foi CGT — Élections FCPAN 2024</t>
  </si>
  <si>
    <t>Elections FCPAN : N'oubliez pas de voter !</t>
  </si>
  <si>
    <t>Profession de foi des candidats CGT pour les élections FCPAN 2024.</t>
  </si>
  <si>
    <t>Ici Massy — Les salariés parlent aux salariés</t>
  </si>
  <si>
    <t>Les sanglots longs des violons de l'automne</t>
  </si>
  <si>
    <t>Augmentations 2024, RCC 2024, fonctionnement démocratique du syndicat et appel à rejoindre la CGT.</t>
  </si>
  <si>
    <t>Bilan de la RCC 2024 — Nokia a encore montré son vrai visage</t>
  </si>
  <si>
    <t>Bilan de la RCC 2024</t>
  </si>
  <si>
    <t>Bilan de la RCC 2024 : 210 dossiers validés, disparités entre organisations, difficultés de substitution, pressions sur certains salariés, réorganisation de MN Europe.</t>
  </si>
  <si>
    <t>Le mois de décembre sera rouge — et ce ne sera pas le rouge du père Noël</t>
  </si>
  <si>
    <t>Le mois de décembre sera rouge (et ce ne sera pas le rouge du père Noël)</t>
  </si>
  <si>
    <t>Mobilisations de décembre pour l'emploi et l'industrie, la fonction publique, les ports et la SNCF, et élections professionnelles dans les TPE.</t>
  </si>
  <si>
    <t>Urgence Industrie France</t>
  </si>
  <si>
    <t>Désindustrialisation, suppressions d'emplois, aides publiques aux entreprises et appel à la mobilisation nationale pour l'emploi et l'industrie.</t>
  </si>
  <si>
    <t>En 2025, on s'organise avec le syndicat CGT NPS !</t>
  </si>
  <si>
    <t>Vœux 2025 : bilan de la RCC 2024 et avis du CSE-E sur 231 postes supprimés, accords signés ou non en 2024, nouvelle équipe d'élus, mise à jour des fiches emplois.</t>
  </si>
  <si>
    <t>Calculateur de baisse de salaire 2025</t>
  </si>
  <si>
    <t>Outil de calcul de l'évolution de son salaire corrigée de l'inflation depuis 2015, en appui des revendications salariales.</t>
  </si>
  <si>
    <t>Avenant Télétravail : signer pour 40 centimes ?</t>
  </si>
  <si>
    <t>Négociation de l'avenant à l'accord télétravail de 2022 : indemnité journalière portée à 4,40 €, maintien de l'aide de 300 € sous conditions.</t>
  </si>
  <si>
    <t>Prévention sauce Nokia : seulement quand c'est obligatoire ?</t>
  </si>
  <si>
    <t>Prevention sauce Nokia</t>
  </si>
  <si>
    <t>Santé et sécurité : démolition de la tour de Nozay, formation aux risques chimiques et électriques, locaux fissurés, sortie de secours condamnée à Massy, droit d'alerte et CSSCT.</t>
  </si>
  <si>
    <t>Salaires +0,68 % : les négos ça ne marche pas, il faut se mobiliser</t>
  </si>
  <si>
    <t>Salaires : Les négos ça ne marche pas</t>
  </si>
  <si>
    <t>Refus de signer les NAO 2025 : enveloppe de 2 % soit 0,68 % après inflation, baisse de 4 % du pouvoir d'achat depuis 2021, action de blocage des calendriers suivie par près de 600 salariés.</t>
  </si>
  <si>
    <t>Radar Travail et Environnement : vos propositions !</t>
  </si>
  <si>
    <t>Radar travail et environnement : vos propositions !</t>
  </si>
  <si>
    <t>Restitution du sondage Radar Travail et Environnement (182 répondants) : empreinte carbone, consommation énergétique, cycle de vie des produits, biodiversité et participation des salariés.</t>
  </si>
  <si>
    <t>5 juin 2025 — Retraites, salaires, emploi : même combat !</t>
  </si>
  <si>
    <t>5 juin journée d'action pour les retraites, l'emploi et les salaires</t>
  </si>
  <si>
    <t>Appel à la grève et à la manifestation du 5 juin 2025 pour l'abrogation de la réforme des retraites, les salaires, l'emploi industriel et les services publics.</t>
  </si>
  <si>
    <t>Appel intersyndical — Mobilisation pour la Palestine le 14 juin</t>
  </si>
  <si>
    <t>MOBILISATION POUR LA PALESTINE LE 14 JUIN</t>
  </si>
  <si>
    <t>Relais de l'appel intersyndical CFDT, CGT, Unsa, Solidaires et FSU à manifester le 14 juin 2025 pour un cessez-le-feu à Gaza et l'accès de l'aide humanitaire.</t>
  </si>
  <si>
    <t>Affaire BRM Nokia : le récap !</t>
  </si>
  <si>
    <t>Récapitulatif de l'affaire BRM chez Nokia et de ses suites pour les salariés concernés.</t>
  </si>
  <si>
    <t>Mobilisation 10 septembre — Déclaration du CCN (26-27 août)</t>
  </si>
  <si>
    <t>Mobilisation 10 septembre — Construisons un processus de lutte</t>
  </si>
  <si>
    <t>Déclaration du CCN des 26-27 août 2025. La CGT exige l'abandon du projet de budget et appelle à la mobilisation du 10 septembre pour les droits sociaux et environnementaux.</t>
  </si>
  <si>
    <t>Tracts Gaza : Nokia menace la CGT</t>
  </si>
  <si>
    <t>Tracts sur Gaza et menaces de la direction contre leur diffusion. Le même envoi comprenait l'appel intersyndical à la grève du 2 octobre.</t>
  </si>
  <si>
    <t>Un accident du travail n'est pas un arrêt maladie</t>
  </si>
  <si>
    <t>Différence entre accident du travail et arrêt maladie, démarches de déclaration, y compris pour les situations d'épuisement professionnel.</t>
  </si>
  <si>
    <t>Sois performant pour gagner</t>
  </si>
  <si>
    <t>« Perform to win »… sérieusement ?</t>
  </si>
  <si>
    <t>Critique du nouveau système d'évaluation, de ses critères comportementaux, du risque de classement forcé et de ses conséquences sur la rémunération variable.</t>
  </si>
  <si>
    <t>Happy Thanksgiving chez Nokia — L'industrie française dindon de la farce</t>
  </si>
  <si>
    <t>Thanksgiving Nokia : L'industrie française dindon de la farce</t>
  </si>
  <si>
    <t>Projet de RCC visant 427 suppressions de postes, baisse continue des effectifs en France, risques d'externalisation et orientations industrielles du groupe.</t>
  </si>
  <si>
    <t>L'emploi menacé en Grèce comme en France</t>
  </si>
  <si>
    <t>Soutien aux salariés grecs de Nokia Microwave : relais de l'appel des syndicats grecs et solidarité avec leur grève du 10 décembre.</t>
  </si>
  <si>
    <t>Pour ceux qui restent</t>
  </si>
  <si>
    <t>Refus de la CGT de signer l'accord de RCC et conséquences pour les salariés qui restent dans l'entreprise.</t>
  </si>
  <si>
    <t>Eval 2026 : le réveil brutal du "Perform to Win" — Chronique d'un triage annoncé</t>
  </si>
  <si>
    <t>« Developing » de tout le pays, unissez-vous !</t>
  </si>
  <si>
    <t>Premières applications du dispositif « Perform to Win » : quotas de notation, contestation des évaluations et revendication d'un treizième mois.</t>
  </si>
  <si>
    <t>Pressions contre vos élus CGT : les Prud'hommes rappellent le droit à deux reprises</t>
  </si>
  <si>
    <t>Répression syndicale : Nokia condamné aux CPHs</t>
  </si>
  <si>
    <t>Deux décisions prud'homales, exercice du droit d'alerte, sanctions syndicales et restrictions contestées à la communication syndicale.</t>
  </si>
  <si>
    <t>RCC 2026-2 : retour du sondage salariés</t>
  </si>
  <si>
    <t>Votre ressenti pour la RCC 2026-2</t>
  </si>
  <si>
    <t>Réponses de 312 salariés au sondage sur la deuxième RCC de 2026, leurs réactions et leurs priorités de négociation.</t>
  </si>
  <si>
    <t>La communauté WhatsApp des salariés dépasse les 1 000 membres</t>
  </si>
  <si>
    <t>1000+ membres sur le WhatsApp des salariés</t>
  </si>
  <si>
    <t>Groupes d'entraide, RCC, BRM, anciens salariés et démarches en préfecture ; appel à rejoindre la CGT à l'approche des élections du 23 novembre 2026.</t>
  </si>
  <si>
    <t>Retraites : nos années d’études doivent compter !</t>
  </si>
  <si>
    <t>Tract Ugict-CGT : face à la relance du débat sur un recul de l'âge légal à 67 ans après la réforme de 2023, revendication de la prise en compte des années d'études dans le calcul de la retraite, illustrée par le cas de « Martine qui court après sa retraite ».</t>
  </si>
  <si>
    <t>Retraites : nos années d'études doivent compter</t>
  </si>
  <si>
    <t>URL PDF</t>
  </si>
  <si>
    <t>filename pdf</t>
  </si>
  <si>
    <t>preview filename</t>
  </si>
  <si>
    <t>Tract-retraites-2026-v-allegee_page-0001.jpg</t>
  </si>
  <si>
    <t>communauté whatsapp v2_page-0001.jpg</t>
  </si>
  <si>
    <t>2026_06_TRACT-RetourSondageRCC2026-2_page-0001.jpg</t>
  </si>
  <si>
    <t>repression syndicale v5_page-0001.jpg</t>
  </si>
  <si>
    <t>tract_perform_to_win_page-0001.jpg</t>
  </si>
  <si>
    <t>tract_pour_ceux_qui_restent_page-0001.jpg</t>
  </si>
  <si>
    <t>Soutien_Grece_Nokia_Microwave_v1_page-0001.jpg</t>
  </si>
  <si>
    <t>tract_rcc_2026_page-0001.jpg</t>
  </si>
  <si>
    <t>tract AT_page-0001.jpg</t>
  </si>
  <si>
    <t>reponse gaza 2025 v4_page-0001.jpg</t>
  </si>
  <si>
    <t>20250827_Mobilisation_10_Septembre_CCN_page-0001.jpg</t>
  </si>
  <si>
    <t>tract contentieux bonus 16juin25_page-0001.jpg</t>
  </si>
  <si>
    <t>tract_palestine_appel_manif_page-0001.jpg</t>
  </si>
  <si>
    <t>20250507_JourneeAction5Juin_Tract__page-0001.jpg</t>
  </si>
  <si>
    <t>2025_04_TRACT_radar_restitution_v2_3p_page-0001.jpg</t>
  </si>
  <si>
    <t>tract-salaires-2025_page-0001.jpg</t>
  </si>
  <si>
    <t>tract-prevention-risques_V1_page-0001.jpg</t>
  </si>
  <si>
    <t>tract-avenant-TL-v2_page-0001.jpg</t>
  </si>
  <si>
    <t>tract_calculateur_salaires_2025_page-0001.jpg</t>
  </si>
  <si>
    <t>CGT-NPS-Voeux-2025_page-0001.jpg</t>
  </si>
  <si>
    <t>tract-indus-v1_page-0001.jpg</t>
  </si>
  <si>
    <t>2024-12-04_Mobilisations_et_elections_TPE_page-0001.jpg</t>
  </si>
  <si>
    <t>tract_bilan_rcc24_v4_page-0001.jpg</t>
  </si>
  <si>
    <t>tract_democratie_rcc_salaires_v2_page-0001.jpg</t>
  </si>
  <si>
    <t>Profession_de_Foi_CGT_elections_FCPAN_2024_VF_V3_page-0001.jpg</t>
  </si>
  <si>
    <t>tract_retour_salaires_2024_v1_page-0001.jpg</t>
  </si>
  <si>
    <t>reorg-mn-V3_page-0001.jpg</t>
  </si>
  <si>
    <t>tract-noel-2023-V3_page-0001.jpg</t>
  </si>
  <si>
    <t>ncc cotation 3_page-0001.jpg</t>
  </si>
  <si>
    <t>tract_annonces_pekka_06_11_2023_page-0001.jpg</t>
  </si>
  <si>
    <t>tract com nokia final_page-0001.jpg</t>
  </si>
  <si>
    <t>midpoints_page-0001.jpg</t>
  </si>
  <si>
    <t>Tract Volontariat RCC_page-0001.jpg</t>
  </si>
  <si>
    <t>Tract brèves de printemps_page-0001.jpg</t>
  </si>
  <si>
    <t>Tract_Santé_Prévoyance_Mars_2022 nps_page-0001.jpg</t>
  </si>
  <si>
    <t>Tract CGT desaccords en cascade 03-06-2022_page-0001.jpg</t>
  </si>
  <si>
    <t>Tract brèves d'été_page-0001.jpg</t>
  </si>
  <si>
    <t>Tract demenagement 06-09-22_page-0001.jpg</t>
  </si>
  <si>
    <t>Manif29septembre CandidaturesElection_page-0001.jpg</t>
  </si>
  <si>
    <t>Ce que veulent les Cadres -Synthèse Baromètre Cadres UGICT Viavoice octobre 2022_page-0001.jpg</t>
  </si>
  <si>
    <t>Retour Sondage CGT Navettes Octobre 2022_page-0001.jpg</t>
  </si>
  <si>
    <t>Les Navettes Quelle Galère 09_11_2022_page-0001.jpg</t>
  </si>
  <si>
    <t>Radar Travail et Environnement 09_11_2022_page-0001.jpg</t>
  </si>
  <si>
    <t>Le saviez-vous 12_11_2022_page-0001.jpg</t>
  </si>
  <si>
    <t>Points sur les i 12_11_2022_page-0001.jpg</t>
  </si>
  <si>
    <t>Elections Pro - Choisir son camp_page-0001.jpg</t>
  </si>
  <si>
    <t>Enjeu Salaires2022_page-0001.jpg</t>
  </si>
  <si>
    <t>Tract Sondages_page-0001.jpg</t>
  </si>
  <si>
    <t>Tract_NegoTELEW_page-0001.jpg</t>
  </si>
  <si>
    <t>Bilans des accords signés par la CGT_page-0001.jpg</t>
  </si>
  <si>
    <t>https://nokia.sharepoint.com/sites/CGT39/Shared%20Documents/salari%C3%A9s/tracts%20diffus%C3%A9s/tracts_html_files/copies/Tract-retraites-2026-v-allegee.pdf</t>
  </si>
  <si>
    <t>https://nokia.sharepoint.com/sites/CGT39/Shared%20Documents/salari%C3%A9s/tracts%20diffus%C3%A9s/tracts_html_files/copies/communaut%C3%A9%20whatsapp%20v2.pdf</t>
  </si>
  <si>
    <t>https://nokia.sharepoint.com/sites/CGT39/Shared%20Documents/salari%C3%A9s/tracts%20diffus%C3%A9s/tracts_html_files/copies/2026_06_TRACT-RetourSondageRCC2026-2.pdf</t>
  </si>
  <si>
    <t>https://nokia.sharepoint.com/sites/CGT39/Shared%20Documents/salari%C3%A9s/tracts%20diffus%C3%A9s/tracts_html_files/copies/repression%20syndicale%20v5.pdf</t>
  </si>
  <si>
    <t>https://nokia.sharepoint.com/sites/CGT39/Shared%20Documents/salari%C3%A9s/tracts%20diffus%C3%A9s/tracts_html_files/copies/tract_perform_to_win.pdf</t>
  </si>
  <si>
    <t>https://nokia.sharepoint.com/sites/CGT39/Shared%20Documents/salari%C3%A9s/tracts%20diffus%C3%A9s/tracts_html_files/copies/tract_pour_ceux_qui_restent.pdf</t>
  </si>
  <si>
    <t>https://nokia.sharepoint.com/sites/CGT39/Shared%20Documents/salari%C3%A9s/tracts%20diffus%C3%A9s/tracts_html_files/copies/Soutien_Grece_Nokia_Microwave_v1.pdf</t>
  </si>
  <si>
    <t>https://nokia.sharepoint.com/sites/CGT39/Shared%20Documents/salari%C3%A9s/tracts%20diffus%C3%A9s/tracts_html_files/copies/tract_rcc_2026.pdf</t>
  </si>
  <si>
    <t>https://nokia.sharepoint.com/sites/CGT39/Shared%20Documents/salari%C3%A9s/tracts%20diffus%C3%A9s/tracts_html_files/copies/tract%20evaluation%20objectifs%20v2--3p.pdf</t>
  </si>
  <si>
    <t>https://nokia.sharepoint.com/sites/CGT39/Shared%20Documents/salari%C3%A9s/tracts%20diffus%C3%A9s/tracts_html_files/copies/tract%20AT.pdf</t>
  </si>
  <si>
    <t>https://nokia.sharepoint.com/sites/CGT39/Shared%20Documents/salari%C3%A9s/tracts%20diffus%C3%A9s/tracts_html_files/copies/reponse%20gaza%202025%20v4.pdf</t>
  </si>
  <si>
    <t>https://nokia.sharepoint.com/sites/CGT39/Shared%20Documents/salari%C3%A9s/tracts%20diffus%C3%A9s/tracts_html_files/copies/20250827_Mobilisation_10_Septembre_CCN.pdf</t>
  </si>
  <si>
    <t>https://nokia.sharepoint.com/sites/CGT39/Shared%20Documents/salari%C3%A9s/tracts%20diffus%C3%A9s/tracts_html_files/copies/tract%20contentieux%20bonus%2016juin25.pdf</t>
  </si>
  <si>
    <t>https://nokia.sharepoint.com/sites/CGT39/Shared%20Documents/salari%C3%A9s/tracts%20diffus%C3%A9s/tracts_html_files/copies/tract_palestine_appel_manif.pdf</t>
  </si>
  <si>
    <t>https://nokia.sharepoint.com/sites/CGT39/Shared%20Documents/salari%C3%A9s/tracts%20diffus%C3%A9s/tracts_html_files/copies/20250507_JourneeAction5Juin_Tract_.pdf</t>
  </si>
  <si>
    <t>https://nokia.sharepoint.com/sites/CGT39/Shared%20Documents/salari%C3%A9s/tracts%20diffus%C3%A9s/tracts_html_files/copies/2025_04_TRACT_radar_restitution_v2_3p.pdf</t>
  </si>
  <si>
    <t>https://nokia.sharepoint.com/sites/CGT39/Shared%20Documents/salari%C3%A9s/tracts%20diffus%C3%A9s/tracts_html_files/copies/tract-salaires-2025.pdf</t>
  </si>
  <si>
    <t>https://nokia.sharepoint.com/sites/CGT39/Shared%20Documents/salari%C3%A9s/tracts%20diffus%C3%A9s/tracts_html_files/copies/tract-prevention-risques_V1.pdf</t>
  </si>
  <si>
    <t>https://nokia.sharepoint.com/sites/CGT39/Shared%20Documents/salari%C3%A9s/tracts%20diffus%C3%A9s/tracts_html_files/copies/tract-avenant-TL-v2.pdf</t>
  </si>
  <si>
    <t>https://nokia.sharepoint.com/sites/CGT39/Shared%20Documents/salari%C3%A9s/tracts%20diffus%C3%A9s/tracts_html_files/copies/tract_calculateur_salaires_2025.pdf</t>
  </si>
  <si>
    <t>https://nokia.sharepoint.com/sites/CGT39/Shared%20Documents/salari%C3%A9s/tracts%20diffus%C3%A9s/tracts_html_files/copies/CGT-NPS-Voeux-2025.pdf</t>
  </si>
  <si>
    <t>https://nokia.sharepoint.com/sites/CGT39/Shared%20Documents/salari%C3%A9s/tracts%20diffus%C3%A9s/tracts_html_files/copies/tract-indus-v1.pdf</t>
  </si>
  <si>
    <t>https://nokia.sharepoint.com/sites/CGT39/Shared%20Documents/salari%C3%A9s/tracts%20diffus%C3%A9s/tracts_html_files/copies/2024-12-04_Mobilisations_et_elections_TPE.pdf</t>
  </si>
  <si>
    <t>https://nokia.sharepoint.com/sites/CGT39/Shared%20Documents/salari%C3%A9s/tracts%20diffus%C3%A9s/tracts_html_files/copies/tract_bilan_rcc24_v4.pdf</t>
  </si>
  <si>
    <t>https://nokia.sharepoint.com/sites/CGT39/Shared%20Documents/salari%C3%A9s/tracts%20diffus%C3%A9s/tracts_html_files/copies/tract_democratie_rcc_salaires_v2.pdf</t>
  </si>
  <si>
    <t>https://nokia.sharepoint.com/sites/CGT39/Shared%20Documents/salari%C3%A9s/tracts%20diffus%C3%A9s/tracts_html_files/copies/Profession_de_Foi_CGT_elections_FCPAN_2024_VF_V3.pdf</t>
  </si>
  <si>
    <t>https://nokia.sharepoint.com/sites/CGT39/Shared%20Documents/salari%C3%A9s/tracts%20diffus%C3%A9s/tracts_html_files/copies/tract_retour_salaires_2024_v1.pdf</t>
  </si>
  <si>
    <t>https://nokia.sharepoint.com/sites/CGT39/Shared%20Documents/salari%C3%A9s/tracts%20diffus%C3%A9s/tracts_html_files/copies/reorg-mn-V3.pdf</t>
  </si>
  <si>
    <t>https://nokia.sharepoint.com/sites/CGT39/Shared%20Documents/salari%C3%A9s/tracts%20diffus%C3%A9s/tracts_html_files/copies/tract-noel-2023-V3.pdf</t>
  </si>
  <si>
    <t>https://nokia.sharepoint.com/sites/CGT39/Shared%20Documents/salari%C3%A9s/tracts%20diffus%C3%A9s/tracts_html_files/copies/ncc%20cotation%203.pdf</t>
  </si>
  <si>
    <t>https://nokia.sharepoint.com/sites/CGT39/Shared%20Documents/salari%C3%A9s/tracts%20diffus%C3%A9s/tracts_html_files/copies/tract_annonces_pekka_06_11_2023.pdf</t>
  </si>
  <si>
    <t>https://nokia.sharepoint.com/sites/CGT39/Shared%20Documents/salari%C3%A9s/tracts%20diffus%C3%A9s/tracts_html_files/copies/tract_militants_nord.pdf</t>
  </si>
  <si>
    <t>https://nokia.sharepoint.com/sites/CGT39/Shared%20Documents/salari%C3%A9s/tracts%20diffus%C3%A9s/tracts_html_files/copies/tract%20com%20nokia%20final.pdf</t>
  </si>
  <si>
    <t>https://nokia.sharepoint.com/sites/CGT39/Shared%20Documents/salari%C3%A9s/tracts%20diffus%C3%A9s/tracts_html_files/copies/midpoints.pdf</t>
  </si>
  <si>
    <t>https://nokia.sharepoint.com/sites/CGT39/Shared%20Documents/salari%C3%A9s/tracts%20diffus%C3%A9s/tracts_html_files/copies/Tract%20Volontariat%20RCC.pdf</t>
  </si>
  <si>
    <t>https://nokia.sharepoint.com/sites/CGT39/Shared%20Documents/salari%C3%A9s/tracts%20diffus%C3%A9s/tracts_html_files/copies/Tract%20br%C3%A8ves%20de%20printemps.pdf</t>
  </si>
  <si>
    <t>https://nokia.sharepoint.com/sites/CGT39/Shared%20Documents/salari%C3%A9s/tracts%20diffus%C3%A9s/tracts_html_files/copies/Tract_Sant%C3%A9_Pr%C3%A9voyance_Mars_2022%20nps.pdf</t>
  </si>
  <si>
    <t>https://nokia.sharepoint.com/sites/CGT39/Shared%20Documents/salari%C3%A9s/tracts%20diffus%C3%A9s/tracts_html_files/copies/Tract%20CGT%20desaccords%20en%20cascade%2003-06-2022.pdf</t>
  </si>
  <si>
    <t>https://nokia.sharepoint.com/sites/CGT39/Shared%20Documents/salari%C3%A9s/tracts%20diffus%C3%A9s/tracts_html_files/copies/Tract%20br%C3%A8ves%20d%27%C3%A9t%C3%A9.pdf</t>
  </si>
  <si>
    <t>https://nokia.sharepoint.com/sites/CGT39/Shared%20Documents/salari%C3%A9s/tracts%20diffus%C3%A9s/tracts_html_files/copies/Tract%20demenagement%2006-09-22.pdf</t>
  </si>
  <si>
    <t>https://nokia.sharepoint.com/sites/CGT39/Shared%20Documents/salari%C3%A9s/tracts%20diffus%C3%A9s/tracts_html_files/copies/Manif29septembre%20CandidaturesElection.pdf</t>
  </si>
  <si>
    <t>https://nokia.sharepoint.com/sites/CGT39/Shared%20Documents/salari%C3%A9s/tracts%20diffus%C3%A9s/tracts_html_files/copies/Ce%20que%20veulent%20les%20Cadres%20-Synth%C3%A8se%20Barom%C3%A8tre%20Cadres%20UGICT%20Viavoice%20octobre%202022.pdf</t>
  </si>
  <si>
    <t>https://nokia.sharepoint.com/sites/CGT39/Shared%20Documents/salari%C3%A9s/tracts%20diffus%C3%A9s/tracts_html_files/copies/Retour%20Sondage%20CGT%20Navettes%20Octobre%202022.pdf</t>
  </si>
  <si>
    <t>https://nokia.sharepoint.com/sites/CGT39/Shared%20Documents/salari%C3%A9s/tracts%20diffus%C3%A9s/tracts_html_files/copies/Les%20Navettes%20Quelle%20Gal%C3%A8re%2009_11_2022.pdf</t>
  </si>
  <si>
    <t>https://nokia.sharepoint.com/sites/CGT39/Shared%20Documents/salari%C3%A9s/tracts%20diffus%C3%A9s/tracts_html_files/copies/Radar%20Travail%20et%20Environnement%2009_11_2022.pdf</t>
  </si>
  <si>
    <t>https://nokia.sharepoint.com/sites/CGT39/Shared%20Documents/salari%C3%A9s/tracts%20diffus%C3%A9s/tracts_html_files/copies/Le%20saviez-vous%2012_11_2022.pdf</t>
  </si>
  <si>
    <t>https://nokia.sharepoint.com/sites/CGT39/Shared%20Documents/salari%C3%A9s/tracts%20diffus%C3%A9s/tracts_html_files/copies/Points%20sur%20les%20i%2012_11_2022.pdf</t>
  </si>
  <si>
    <t>https://nokia.sharepoint.com/sites/CGT39/Shared%20Documents/salari%C3%A9s/tracts%20diffus%C3%A9s/tracts_html_files/copies/Elections%20Pro%20-%20Choisir%20son%20camp.pdf</t>
  </si>
  <si>
    <t>https://nokia.sharepoint.com/sites/CGT39/Shared%20Documents/salari%C3%A9s/tracts%20diffus%C3%A9s/tracts_html_files/copies/Enjeu%20Salaires2022.pdf</t>
  </si>
  <si>
    <t>https://nokia.sharepoint.com/sites/CGT39/Shared%20Documents/salari%C3%A9s/tracts%20diffus%C3%A9s/tracts_html_files/copies/Tract%20Sondages.pdf</t>
  </si>
  <si>
    <t>https://nokia.sharepoint.com/sites/CGT39/Shared%20Documents/salari%C3%A9s/tracts%20diffus%C3%A9s/tracts_html_files/copies/Tract_NegoTELEW.pdf</t>
  </si>
  <si>
    <t>https://nokia.sharepoint.com/sites/CGT39/Shared%20Documents/salari%C3%A9s/tracts%20diffus%C3%A9s/tracts_html_files/copies/Bilans%20des%20accords%20sign%C3%A9s%20par%20la%20CGT.pdf</t>
  </si>
  <si>
    <t>Objet du courriel</t>
  </si>
  <si>
    <t>Date de diffusion</t>
  </si>
  <si>
    <t>Résumé</t>
  </si>
  <si>
    <t>tract_militants_nord_page-0001.jpg</t>
  </si>
  <si>
    <t>7 mars 2022</t>
  </si>
  <si>
    <t>3 juin 2022</t>
  </si>
  <si>
    <t>16 septembre 2022</t>
  </si>
  <si>
    <t>5 septembre 2022</t>
  </si>
  <si>
    <t>27 septembre 2022</t>
  </si>
  <si>
    <t>24 octobre 2022</t>
  </si>
  <si>
    <t>9 novembre 2022</t>
  </si>
  <si>
    <t>12 novembre 2022</t>
  </si>
  <si>
    <t>10 novembre 2022</t>
  </si>
  <si>
    <t>26 octobre 2022</t>
  </si>
  <si>
    <t>19 septembre 2022</t>
  </si>
  <si>
    <t>26 avril 2022</t>
  </si>
  <si>
    <t>6 novembre 2024</t>
  </si>
  <si>
    <t>13 novembre 2023</t>
  </si>
  <si>
    <t>tract evaluation objectifs v2--3p.pdf</t>
  </si>
  <si>
    <t>tract evaluation objectifs v2--3p_page-0001.jpg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</si>
</sst>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C]d\ mmmm\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center" wrapText="1"/>
    </xf>
    <xf numFmtId="0" fontId="0" fillId="0" borderId="0" xfId="0" applyAlignment="1">
      <alignment horizontal="left" vertical="center"/>
    </xf>
    <xf numFmtId="1" fontId="0" fillId="0" borderId="0" xfId="0" applyNumberFormat="1" applyAlignment="1">
      <alignment horizontal="left" vertical="center"/>
    </xf>
    <xf numFmtId="49" fontId="0" fillId="0" borderId="0" xfId="0" applyNumberFormat="1" applyAlignment="1">
      <alignment horizontal="left" vertical="center" wrapText="1"/>
    </xf>
    <xf numFmtId="164" fontId="0" fillId="0" borderId="0" xfId="0" applyNumberFormat="1" applyAlignment="1">
      <alignment horizontal="left" vertical="center" wrapText="1"/>
    </xf>
    <xf numFmtId="49" fontId="0" fillId="0" borderId="0" xfId="0" applyNumberFormat="1" applyAlignment="1">
      <alignment horizontal="left" vertical="center"/>
    </xf>
    <xf numFmtId="49" fontId="0" fillId="0" borderId="0" xfId="0" applyNumberFormat="1"/>
  </cellXfs>
  <cellStyles count="1">
    <cellStyle name="Normal" xfId="0" builtinId="0"/>
  </cellStyles>
  <dxfs count="11">
    <dxf>
      <numFmt numFmtId="30" formatCode="@"/>
      <alignment horizontal="left" vertical="center" textRotation="0" indent="0" justifyLastLine="0" shrinkToFit="0" readingOrder="0"/>
    </dxf>
    <dxf>
      <numFmt numFmtId="0" formatCode="General"/>
      <alignment horizontal="left" vertical="center" textRotation="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1" indent="0" justifyLastLine="0" shrinkToFit="0" readingOrder="0"/>
    </dxf>
    <dxf>
      <numFmt numFmtId="164" formatCode="[$-40C]d\ mmmm\ yyyy"/>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1" formatCode="0"/>
      <alignment horizontal="left" vertical="center" textRotation="0" indent="0" justifyLastLine="0" shrinkToFit="0" readingOrder="0"/>
    </dxf>
    <dxf>
      <numFmt numFmtId="1" formatCode="0"/>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3A63AD-FD99-47EE-AE73-3590B242F16A}" name="Tracts" displayName="Tracts" ref="A1:I53" totalsRowShown="0" headerRowDxfId="10" dataDxfId="9">
  <autoFilter ref="A1:I53" xr:uid="{1E3A63AD-FD99-47EE-AE73-3590B242F16A}"/>
  <sortState xmlns:xlrd2="http://schemas.microsoft.com/office/spreadsheetml/2017/richdata2" ref="A2:I53">
    <sortCondition descending="1" ref="E2:E53"/>
  </sortState>
  <tableColumns count="9">
    <tableColumn id="1" xr3:uid="{77DC1C5D-CAD0-43A9-AA66-DF1DF283D679}" name="Année" dataDxfId="8"/>
    <tableColumn id="2" xr3:uid="{B8A75620-CFB6-469A-BAB5-7136346B1061}" name="ID" dataDxfId="7"/>
    <tableColumn id="3" xr3:uid="{B302923A-9387-43A7-B514-9FF10C9CA5EE}" name="Titre (tractsData)" dataDxfId="6"/>
    <tableColumn id="4" xr3:uid="{99717E1D-503F-450D-BFBE-06DF5B0C96B9}" name="Objet du courriel" dataDxfId="5"/>
    <tableColumn id="5" xr3:uid="{9A134949-A111-4FDA-AFA5-83903FF7CAA6}" name="Date de diffusion" dataDxfId="4"/>
    <tableColumn id="6" xr3:uid="{D3496E38-A8F4-41D7-A372-B7D04D8F5817}" name="Résumé" dataDxfId="3"/>
    <tableColumn id="9" xr3:uid="{8E6A368E-B594-4B12-90EF-0EFC8889B60D}" name="URL PDF" dataDxfId="2"/>
    <tableColumn id="7" xr3:uid="{3716B4A7-96A6-48C9-BFF8-1429D4C2A982}" name="filename pdf" dataDxfId="1">
      <calculatedColumnFormula>_xlfn.LET(_xlpm.n,IFERROR(_xlfn.TEXTAFTER(Tracts[[#This Row],[URL PDF]],"/",-1),Tracts[[#This Row],[URL PDF]]),SUBSTITUTE(SUBSTITUTE(SUBSTITUTE(SUBSTITUTE(_xlpm.n,"%20"," "),"%27","'"),"%C3%A9","é"),"%C3%A8","è"))</calculatedColumnFormula>
    </tableColumn>
    <tableColumn id="8" xr3:uid="{F39D83B1-682C-4BE4-AED7-3E1219BD182E}" name="preview file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D1" workbookViewId="0">
      <pane ySplit="1" topLeftCell="A13" activePane="bottomLeft" state="frozen"/>
      <selection pane="bottomLeft" activeCell="K35" sqref="K35"/>
    </sheetView>
  </sheetViews>
  <sheetFormatPr defaultRowHeight="15" x14ac:dyDescent="0.25"/>
  <cols>
    <col min="1" max="2" width="9.5703125" style="2" customWidth="1"/>
    <col min="3" max="4" width="49.5703125" style="2" customWidth="1"/>
    <col min="5" max="5" width="24.7109375" style="2" customWidth="1"/>
    <col min="6" max="6" width="80" style="2" customWidth="1"/>
    <col min="7" max="7" width="59.42578125" style="2" customWidth="1"/>
    <col min="8" max="8" width="51.85546875" style="2" customWidth="1"/>
    <col min="9" max="9" width="58.7109375" style="2" customWidth="1"/>
    <col min="10" max="16384" width="9.140625" style="2"/>
  </cols>
  <sheetData>
    <row r="1" spans="1:9" x14ac:dyDescent="0.25">
      <c r="A1" s="1" t="s">
        <v>0</v>
      </c>
      <c r="B1" s="1" t="s">
        <v>1</v>
      </c>
      <c r="C1" s="1" t="s">
        <v>2</v>
      </c>
      <c r="D1" s="1" t="s">
        <v>221</v>
      </c>
      <c r="E1" s="1" t="s">
        <v>222</v>
      </c>
      <c r="F1" s="1" t="s">
        <v>223</v>
      </c>
      <c r="G1" s="2" t="s">
        <v>116</v>
      </c>
      <c r="H1" s="1" t="s">
        <v>117</v>
      </c>
      <c r="I1" s="1" t="s">
        <v>118</v>
      </c>
    </row>
    <row r="2" spans="1:9" ht="45" x14ac:dyDescent="0.25">
      <c r="A2" s="3">
        <v>2026</v>
      </c>
      <c r="B2" s="3">
        <v>36</v>
      </c>
      <c r="C2" s="4" t="s">
        <v>113</v>
      </c>
      <c r="D2" s="4" t="s">
        <v>115</v>
      </c>
      <c r="E2" s="5">
        <f>DATE(2026,9,30)</f>
        <v>46295</v>
      </c>
      <c r="F2" s="4" t="s">
        <v>114</v>
      </c>
      <c r="G2" s="6" t="s">
        <v>169</v>
      </c>
      <c r="H2" s="2" t="str">
        <f>_xlfn.LET(_xlpm.n,IFERROR(_xlfn.TEXTAFTER(Tracts[[#This Row],[URL PDF]],"/",-1),Tracts[[#This Row],[URL PDF]]),SUBSTITUTE(SUBSTITUTE(SUBSTITUTE(SUBSTITUTE(_xlpm.n,"%20"," "),"%27","'"),"%C3%A9","é"),"%C3%A8","è"))</f>
        <v>Tract-retraites-2026-v-allegee.pdf</v>
      </c>
      <c r="I2" s="6" t="s">
        <v>119</v>
      </c>
    </row>
    <row r="3" spans="1:9" ht="30" x14ac:dyDescent="0.25">
      <c r="A3" s="3">
        <v>2026</v>
      </c>
      <c r="B3" s="3">
        <v>35</v>
      </c>
      <c r="C3" s="4" t="s">
        <v>110</v>
      </c>
      <c r="D3" s="4" t="s">
        <v>111</v>
      </c>
      <c r="E3" s="5">
        <v>46288</v>
      </c>
      <c r="F3" s="4" t="s">
        <v>112</v>
      </c>
      <c r="G3" s="6" t="s">
        <v>170</v>
      </c>
      <c r="H3" s="2" t="str">
        <f>_xlfn.LET(_xlpm.n,IFERROR(_xlfn.TEXTAFTER(Tracts[[#This Row],[URL PDF]],"/",-1),Tracts[[#This Row],[URL PDF]]),SUBSTITUTE(SUBSTITUTE(SUBSTITUTE(SUBSTITUTE(_xlpm.n,"%20"," "),"%27","'"),"%C3%A9","é"),"%C3%A8","è"))</f>
        <v>communauté whatsapp v2.pdf</v>
      </c>
      <c r="I3" s="6" t="s">
        <v>120</v>
      </c>
    </row>
    <row r="4" spans="1:9" ht="30" x14ac:dyDescent="0.25">
      <c r="A4" s="3">
        <v>2026</v>
      </c>
      <c r="B4" s="3">
        <v>34</v>
      </c>
      <c r="C4" s="4" t="s">
        <v>107</v>
      </c>
      <c r="D4" s="4" t="s">
        <v>108</v>
      </c>
      <c r="E4" s="5">
        <v>46199</v>
      </c>
      <c r="F4" s="4" t="s">
        <v>109</v>
      </c>
      <c r="G4" s="6" t="s">
        <v>171</v>
      </c>
      <c r="H4" s="2" t="str">
        <f>_xlfn.LET(_xlpm.n,IFERROR(_xlfn.TEXTAFTER(Tracts[[#This Row],[URL PDF]],"/",-1),Tracts[[#This Row],[URL PDF]]),SUBSTITUTE(SUBSTITUTE(SUBSTITUTE(SUBSTITUTE(_xlpm.n,"%20"," "),"%27","'"),"%C3%A9","é"),"%C3%A8","è"))</f>
        <v>2026_06_TRACT-RetourSondageRCC2026-2.pdf</v>
      </c>
      <c r="I4" s="6" t="s">
        <v>121</v>
      </c>
    </row>
    <row r="5" spans="1:9" ht="30" x14ac:dyDescent="0.25">
      <c r="A5" s="3">
        <v>2026</v>
      </c>
      <c r="B5" s="3">
        <v>33</v>
      </c>
      <c r="C5" s="4" t="s">
        <v>104</v>
      </c>
      <c r="D5" s="4" t="s">
        <v>105</v>
      </c>
      <c r="E5" s="5">
        <v>46189</v>
      </c>
      <c r="F5" s="4" t="s">
        <v>106</v>
      </c>
      <c r="G5" s="6" t="s">
        <v>172</v>
      </c>
      <c r="H5" s="2" t="str">
        <f>_xlfn.LET(_xlpm.n,IFERROR(_xlfn.TEXTAFTER(Tracts[[#This Row],[URL PDF]],"/",-1),Tracts[[#This Row],[URL PDF]]),SUBSTITUTE(SUBSTITUTE(SUBSTITUTE(SUBSTITUTE(_xlpm.n,"%20"," "),"%27","'"),"%C3%A9","é"),"%C3%A8","è"))</f>
        <v>repression syndicale v5.pdf</v>
      </c>
      <c r="I5" s="6" t="s">
        <v>122</v>
      </c>
    </row>
    <row r="6" spans="1:9" ht="30" x14ac:dyDescent="0.25">
      <c r="A6" s="3">
        <v>2026</v>
      </c>
      <c r="B6" s="3">
        <v>32</v>
      </c>
      <c r="C6" s="4" t="s">
        <v>101</v>
      </c>
      <c r="D6" s="4" t="s">
        <v>102</v>
      </c>
      <c r="E6" s="5">
        <v>46115</v>
      </c>
      <c r="F6" s="4" t="s">
        <v>103</v>
      </c>
      <c r="G6" s="6" t="s">
        <v>173</v>
      </c>
      <c r="H6" s="2" t="str">
        <f>_xlfn.LET(_xlpm.n,IFERROR(_xlfn.TEXTAFTER(Tracts[[#This Row],[URL PDF]],"/",-1),Tracts[[#This Row],[URL PDF]]),SUBSTITUTE(SUBSTITUTE(SUBSTITUTE(SUBSTITUTE(_xlpm.n,"%20"," "),"%27","'"),"%C3%A9","é"),"%C3%A8","è"))</f>
        <v>tract_perform_to_win.pdf</v>
      </c>
      <c r="I6" s="6" t="s">
        <v>123</v>
      </c>
    </row>
    <row r="7" spans="1:9" ht="30" x14ac:dyDescent="0.25">
      <c r="A7" s="3">
        <v>2025</v>
      </c>
      <c r="B7" s="3">
        <v>31</v>
      </c>
      <c r="C7" s="4" t="s">
        <v>99</v>
      </c>
      <c r="D7" s="4" t="s">
        <v>99</v>
      </c>
      <c r="E7" s="5">
        <v>46010</v>
      </c>
      <c r="F7" s="4" t="s">
        <v>100</v>
      </c>
      <c r="G7" s="6" t="s">
        <v>174</v>
      </c>
      <c r="H7" s="2" t="str">
        <f>_xlfn.LET(_xlpm.n,IFERROR(_xlfn.TEXTAFTER(Tracts[[#This Row],[URL PDF]],"/",-1),Tracts[[#This Row],[URL PDF]]),SUBSTITUTE(SUBSTITUTE(SUBSTITUTE(SUBSTITUTE(_xlpm.n,"%20"," "),"%27","'"),"%C3%A9","é"),"%C3%A8","è"))</f>
        <v>tract_pour_ceux_qui_restent.pdf</v>
      </c>
      <c r="I7" s="6" t="s">
        <v>124</v>
      </c>
    </row>
    <row r="8" spans="1:9" ht="30" x14ac:dyDescent="0.25">
      <c r="A8" s="3">
        <v>2025</v>
      </c>
      <c r="B8" s="3">
        <v>30</v>
      </c>
      <c r="C8" s="4" t="s">
        <v>97</v>
      </c>
      <c r="D8" s="4" t="s">
        <v>97</v>
      </c>
      <c r="E8" s="5">
        <v>45996</v>
      </c>
      <c r="F8" s="4" t="s">
        <v>98</v>
      </c>
      <c r="G8" s="6" t="s">
        <v>175</v>
      </c>
      <c r="H8" s="2" t="str">
        <f>_xlfn.LET(_xlpm.n,IFERROR(_xlfn.TEXTAFTER(Tracts[[#This Row],[URL PDF]],"/",-1),Tracts[[#This Row],[URL PDF]]),SUBSTITUTE(SUBSTITUTE(SUBSTITUTE(SUBSTITUTE(_xlpm.n,"%20"," "),"%27","'"),"%C3%A9","é"),"%C3%A8","è"))</f>
        <v>Soutien_Grece_Nokia_Microwave_v1.pdf</v>
      </c>
      <c r="I8" s="6" t="s">
        <v>125</v>
      </c>
    </row>
    <row r="9" spans="1:9" ht="30" x14ac:dyDescent="0.25">
      <c r="A9" s="3">
        <v>2025</v>
      </c>
      <c r="B9" s="3">
        <v>29</v>
      </c>
      <c r="C9" s="4" t="s">
        <v>94</v>
      </c>
      <c r="D9" s="4" t="s">
        <v>95</v>
      </c>
      <c r="E9" s="5">
        <v>45989</v>
      </c>
      <c r="F9" s="4" t="s">
        <v>96</v>
      </c>
      <c r="G9" s="7" t="s">
        <v>176</v>
      </c>
      <c r="H9" s="2" t="str">
        <f>_xlfn.LET(_xlpm.n,IFERROR(_xlfn.TEXTAFTER(Tracts[[#This Row],[URL PDF]],"/",-1),Tracts[[#This Row],[URL PDF]]),SUBSTITUTE(SUBSTITUTE(SUBSTITUTE(SUBSTITUTE(_xlpm.n,"%20"," "),"%27","'"),"%C3%A9","é"),"%C3%A8","è"))</f>
        <v>tract_rcc_2026.pdf</v>
      </c>
      <c r="I9" s="6" t="s">
        <v>126</v>
      </c>
    </row>
    <row r="10" spans="1:9" ht="30" x14ac:dyDescent="0.25">
      <c r="A10" s="3">
        <v>2025</v>
      </c>
      <c r="B10" s="3">
        <v>28</v>
      </c>
      <c r="C10" s="4" t="s">
        <v>91</v>
      </c>
      <c r="D10" s="4" t="s">
        <v>92</v>
      </c>
      <c r="E10" s="5">
        <v>45953</v>
      </c>
      <c r="F10" s="4" t="s">
        <v>93</v>
      </c>
      <c r="G10" s="6" t="s">
        <v>177</v>
      </c>
      <c r="H10" s="6" t="s">
        <v>239</v>
      </c>
      <c r="I10" s="6" t="s">
        <v>240</v>
      </c>
    </row>
    <row r="11" spans="1:9" ht="30" x14ac:dyDescent="0.25">
      <c r="A11" s="3">
        <v>2025</v>
      </c>
      <c r="B11" s="3">
        <v>27</v>
      </c>
      <c r="C11" s="4" t="s">
        <v>89</v>
      </c>
      <c r="D11" s="4" t="s">
        <v>89</v>
      </c>
      <c r="E11" s="5">
        <v>45939</v>
      </c>
      <c r="F11" s="4" t="s">
        <v>90</v>
      </c>
      <c r="G11" s="6" t="s">
        <v>178</v>
      </c>
      <c r="H11" s="2" t="str">
        <f>_xlfn.LET(_xlpm.n,IFERROR(_xlfn.TEXTAFTER(Tracts[[#This Row],[URL PDF]],"/",-1),Tracts[[#This Row],[URL PDF]]),SUBSTITUTE(SUBSTITUTE(SUBSTITUTE(SUBSTITUTE(_xlpm.n,"%20"," "),"%27","'"),"%C3%A9","é"),"%C3%A8","è"))</f>
        <v>tract AT.pdf</v>
      </c>
      <c r="I11" s="6" t="s">
        <v>127</v>
      </c>
    </row>
    <row r="12" spans="1:9" ht="30" x14ac:dyDescent="0.25">
      <c r="A12" s="3">
        <v>2025</v>
      </c>
      <c r="B12" s="3">
        <v>26</v>
      </c>
      <c r="C12" s="4" t="s">
        <v>87</v>
      </c>
      <c r="D12" s="4" t="s">
        <v>87</v>
      </c>
      <c r="E12" s="5">
        <v>45930</v>
      </c>
      <c r="F12" s="4" t="s">
        <v>88</v>
      </c>
      <c r="G12" s="6" t="s">
        <v>179</v>
      </c>
      <c r="H12" s="2" t="str">
        <f>_xlfn.LET(_xlpm.n,IFERROR(_xlfn.TEXTAFTER(Tracts[[#This Row],[URL PDF]],"/",-1),Tracts[[#This Row],[URL PDF]]),SUBSTITUTE(SUBSTITUTE(SUBSTITUTE(SUBSTITUTE(_xlpm.n,"%20"," "),"%27","'"),"%C3%A9","é"),"%C3%A8","è"))</f>
        <v>reponse gaza 2025 v4.pdf</v>
      </c>
      <c r="I12" s="6" t="s">
        <v>128</v>
      </c>
    </row>
    <row r="13" spans="1:9" ht="45" x14ac:dyDescent="0.25">
      <c r="A13" s="3">
        <v>2025</v>
      </c>
      <c r="B13" s="3">
        <v>16</v>
      </c>
      <c r="C13" s="4" t="s">
        <v>84</v>
      </c>
      <c r="D13" s="4" t="s">
        <v>85</v>
      </c>
      <c r="E13" s="5">
        <v>45896</v>
      </c>
      <c r="F13" s="4" t="s">
        <v>86</v>
      </c>
      <c r="G13" s="6" t="s">
        <v>180</v>
      </c>
      <c r="H13" s="2" t="str">
        <f>_xlfn.LET(_xlpm.n,IFERROR(_xlfn.TEXTAFTER(Tracts[[#This Row],[URL PDF]],"/",-1),Tracts[[#This Row],[URL PDF]]),SUBSTITUTE(SUBSTITUTE(SUBSTITUTE(SUBSTITUTE(_xlpm.n,"%20"," "),"%27","'"),"%C3%A9","é"),"%C3%A8","è"))</f>
        <v>20250827_Mobilisation_10_Septembre_CCN.pdf</v>
      </c>
      <c r="I13" s="6" t="s">
        <v>129</v>
      </c>
    </row>
    <row r="14" spans="1:9" x14ac:dyDescent="0.25">
      <c r="A14" s="3">
        <v>2025</v>
      </c>
      <c r="B14" s="3">
        <v>25</v>
      </c>
      <c r="C14" s="4" t="s">
        <v>82</v>
      </c>
      <c r="D14" s="4" t="s">
        <v>82</v>
      </c>
      <c r="E14" s="5">
        <v>45824</v>
      </c>
      <c r="F14" s="4" t="s">
        <v>83</v>
      </c>
      <c r="G14" s="6" t="s">
        <v>181</v>
      </c>
      <c r="H14" s="2" t="str">
        <f>_xlfn.LET(_xlpm.n,IFERROR(_xlfn.TEXTAFTER(Tracts[[#This Row],[URL PDF]],"/",-1),Tracts[[#This Row],[URL PDF]]),SUBSTITUTE(SUBSTITUTE(SUBSTITUTE(SUBSTITUTE(_xlpm.n,"%20"," "),"%27","'"),"%C3%A9","é"),"%C3%A8","è"))</f>
        <v>tract contentieux bonus 16juin25.pdf</v>
      </c>
      <c r="I14" s="6" t="s">
        <v>130</v>
      </c>
    </row>
    <row r="15" spans="1:9" ht="30" x14ac:dyDescent="0.25">
      <c r="A15" s="3">
        <v>2025</v>
      </c>
      <c r="B15" s="3">
        <v>24</v>
      </c>
      <c r="C15" s="4" t="s">
        <v>79</v>
      </c>
      <c r="D15" s="4" t="s">
        <v>80</v>
      </c>
      <c r="E15" s="5">
        <v>45820</v>
      </c>
      <c r="F15" s="4" t="s">
        <v>81</v>
      </c>
      <c r="G15" s="6" t="s">
        <v>182</v>
      </c>
      <c r="H15" s="2" t="str">
        <f>_xlfn.LET(_xlpm.n,IFERROR(_xlfn.TEXTAFTER(Tracts[[#This Row],[URL PDF]],"/",-1),Tracts[[#This Row],[URL PDF]]),SUBSTITUTE(SUBSTITUTE(SUBSTITUTE(SUBSTITUTE(_xlpm.n,"%20"," "),"%27","'"),"%C3%A9","é"),"%C3%A8","è"))</f>
        <v>tract_palestine_appel_manif.pdf</v>
      </c>
      <c r="I15" s="6" t="s">
        <v>131</v>
      </c>
    </row>
    <row r="16" spans="1:9" ht="30" x14ac:dyDescent="0.25">
      <c r="A16" s="3">
        <v>2025</v>
      </c>
      <c r="B16" s="3">
        <v>23</v>
      </c>
      <c r="C16" s="4" t="s">
        <v>76</v>
      </c>
      <c r="D16" s="4" t="s">
        <v>77</v>
      </c>
      <c r="E16" s="5">
        <v>45812</v>
      </c>
      <c r="F16" s="4" t="s">
        <v>78</v>
      </c>
      <c r="G16" s="6" t="s">
        <v>183</v>
      </c>
      <c r="H16" s="2" t="str">
        <f>_xlfn.LET(_xlpm.n,IFERROR(_xlfn.TEXTAFTER(Tracts[[#This Row],[URL PDF]],"/",-1),Tracts[[#This Row],[URL PDF]]),SUBSTITUTE(SUBSTITUTE(SUBSTITUTE(SUBSTITUTE(_xlpm.n,"%20"," "),"%27","'"),"%C3%A9","é"),"%C3%A8","è"))</f>
        <v>20250507_JourneeAction5Juin_Tract_.pdf</v>
      </c>
      <c r="I16" s="6" t="s">
        <v>132</v>
      </c>
    </row>
    <row r="17" spans="1:9" ht="45" x14ac:dyDescent="0.25">
      <c r="A17" s="3">
        <v>2025</v>
      </c>
      <c r="B17" s="3">
        <v>22</v>
      </c>
      <c r="C17" s="4" t="s">
        <v>73</v>
      </c>
      <c r="D17" s="4" t="s">
        <v>74</v>
      </c>
      <c r="E17" s="5">
        <v>45777</v>
      </c>
      <c r="F17" s="4" t="s">
        <v>75</v>
      </c>
      <c r="G17" s="6" t="s">
        <v>184</v>
      </c>
      <c r="H17" s="2" t="str">
        <f>_xlfn.LET(_xlpm.n,IFERROR(_xlfn.TEXTAFTER(Tracts[[#This Row],[URL PDF]],"/",-1),Tracts[[#This Row],[URL PDF]]),SUBSTITUTE(SUBSTITUTE(SUBSTITUTE(SUBSTITUTE(_xlpm.n,"%20"," "),"%27","'"),"%C3%A9","é"),"%C3%A8","è"))</f>
        <v>2025_04_TRACT_radar_restitution_v2_3p.pdf</v>
      </c>
      <c r="I17" s="6" t="s">
        <v>133</v>
      </c>
    </row>
    <row r="18" spans="1:9" ht="45" x14ac:dyDescent="0.25">
      <c r="A18" s="3">
        <v>2025</v>
      </c>
      <c r="B18" s="3">
        <v>21</v>
      </c>
      <c r="C18" s="4" t="s">
        <v>70</v>
      </c>
      <c r="D18" s="4" t="s">
        <v>71</v>
      </c>
      <c r="E18" s="5">
        <v>45742</v>
      </c>
      <c r="F18" s="4" t="s">
        <v>72</v>
      </c>
      <c r="G18" s="6" t="s">
        <v>185</v>
      </c>
      <c r="H18" s="2" t="str">
        <f>_xlfn.LET(_xlpm.n,IFERROR(_xlfn.TEXTAFTER(Tracts[[#This Row],[URL PDF]],"/",-1),Tracts[[#This Row],[URL PDF]]),SUBSTITUTE(SUBSTITUTE(SUBSTITUTE(SUBSTITUTE(_xlpm.n,"%20"," "),"%27","'"),"%C3%A9","é"),"%C3%A8","è"))</f>
        <v>tract-salaires-2025.pdf</v>
      </c>
      <c r="I18" s="6" t="s">
        <v>134</v>
      </c>
    </row>
    <row r="19" spans="1:9" ht="45" x14ac:dyDescent="0.25">
      <c r="A19" s="3">
        <v>2025</v>
      </c>
      <c r="B19" s="3">
        <v>20</v>
      </c>
      <c r="C19" s="4" t="s">
        <v>67</v>
      </c>
      <c r="D19" s="4" t="s">
        <v>68</v>
      </c>
      <c r="E19" s="5">
        <v>45734</v>
      </c>
      <c r="F19" s="4" t="s">
        <v>69</v>
      </c>
      <c r="G19" s="6" t="s">
        <v>186</v>
      </c>
      <c r="H19" s="2" t="str">
        <f>_xlfn.LET(_xlpm.n,IFERROR(_xlfn.TEXTAFTER(Tracts[[#This Row],[URL PDF]],"/",-1),Tracts[[#This Row],[URL PDF]]),SUBSTITUTE(SUBSTITUTE(SUBSTITUTE(SUBSTITUTE(_xlpm.n,"%20"," "),"%27","'"),"%C3%A9","é"),"%C3%A8","è"))</f>
        <v>tract-prevention-risques_V1.pdf</v>
      </c>
      <c r="I19" s="6" t="s">
        <v>135</v>
      </c>
    </row>
    <row r="20" spans="1:9" ht="30" x14ac:dyDescent="0.25">
      <c r="A20" s="3">
        <v>2025</v>
      </c>
      <c r="B20" s="3">
        <v>19</v>
      </c>
      <c r="C20" s="4" t="s">
        <v>65</v>
      </c>
      <c r="D20" s="4" t="s">
        <v>65</v>
      </c>
      <c r="E20" s="5">
        <v>45707</v>
      </c>
      <c r="F20" s="4" t="s">
        <v>66</v>
      </c>
      <c r="G20" s="6" t="s">
        <v>187</v>
      </c>
      <c r="H20" s="2" t="str">
        <f>_xlfn.LET(_xlpm.n,IFERROR(_xlfn.TEXTAFTER(Tracts[[#This Row],[URL PDF]],"/",-1),Tracts[[#This Row],[URL PDF]]),SUBSTITUTE(SUBSTITUTE(SUBSTITUTE(SUBSTITUTE(_xlpm.n,"%20"," "),"%27","'"),"%C3%A9","é"),"%C3%A8","è"))</f>
        <v>tract-avenant-TL-v2.pdf</v>
      </c>
      <c r="I20" s="6" t="s">
        <v>136</v>
      </c>
    </row>
    <row r="21" spans="1:9" ht="30" x14ac:dyDescent="0.25">
      <c r="A21" s="3">
        <v>2025</v>
      </c>
      <c r="B21" s="3">
        <v>18</v>
      </c>
      <c r="C21" s="4" t="s">
        <v>63</v>
      </c>
      <c r="D21" s="4" t="s">
        <v>63</v>
      </c>
      <c r="E21" s="5">
        <v>45686</v>
      </c>
      <c r="F21" s="4" t="s">
        <v>64</v>
      </c>
      <c r="G21" s="6" t="s">
        <v>188</v>
      </c>
      <c r="H21" s="2" t="str">
        <f>_xlfn.LET(_xlpm.n,IFERROR(_xlfn.TEXTAFTER(Tracts[[#This Row],[URL PDF]],"/",-1),Tracts[[#This Row],[URL PDF]]),SUBSTITUTE(SUBSTITUTE(SUBSTITUTE(SUBSTITUTE(_xlpm.n,"%20"," "),"%27","'"),"%C3%A9","é"),"%C3%A8","è"))</f>
        <v>tract_calculateur_salaires_2025.pdf</v>
      </c>
      <c r="I21" s="6" t="s">
        <v>137</v>
      </c>
    </row>
    <row r="22" spans="1:9" ht="30" x14ac:dyDescent="0.25">
      <c r="A22" s="3">
        <v>2025</v>
      </c>
      <c r="B22" s="3">
        <v>17</v>
      </c>
      <c r="C22" s="4" t="s">
        <v>61</v>
      </c>
      <c r="D22" s="4" t="s">
        <v>61</v>
      </c>
      <c r="E22" s="5">
        <v>45681</v>
      </c>
      <c r="F22" s="4" t="s">
        <v>62</v>
      </c>
      <c r="G22" s="6" t="s">
        <v>189</v>
      </c>
      <c r="H22" s="2" t="str">
        <f>_xlfn.LET(_xlpm.n,IFERROR(_xlfn.TEXTAFTER(Tracts[[#This Row],[URL PDF]],"/",-1),Tracts[[#This Row],[URL PDF]]),SUBSTITUTE(SUBSTITUTE(SUBSTITUTE(SUBSTITUTE(_xlpm.n,"%20"," "),"%27","'"),"%C3%A9","é"),"%C3%A8","è"))</f>
        <v>CGT-NPS-Voeux-2025.pdf</v>
      </c>
      <c r="I22" s="6" t="s">
        <v>138</v>
      </c>
    </row>
    <row r="23" spans="1:9" ht="30" x14ac:dyDescent="0.25">
      <c r="A23" s="3">
        <v>2024</v>
      </c>
      <c r="B23" s="3">
        <v>15</v>
      </c>
      <c r="C23" s="4" t="s">
        <v>59</v>
      </c>
      <c r="D23" s="4" t="s">
        <v>59</v>
      </c>
      <c r="E23" s="5">
        <v>45638</v>
      </c>
      <c r="F23" s="4" t="s">
        <v>60</v>
      </c>
      <c r="G23" s="6" t="s">
        <v>190</v>
      </c>
      <c r="H23" s="2" t="str">
        <f>_xlfn.LET(_xlpm.n,IFERROR(_xlfn.TEXTAFTER(Tracts[[#This Row],[URL PDF]],"/",-1),Tracts[[#This Row],[URL PDF]]),SUBSTITUTE(SUBSTITUTE(SUBSTITUTE(SUBSTITUTE(_xlpm.n,"%20"," "),"%27","'"),"%C3%A9","é"),"%C3%A8","è"))</f>
        <v>tract-indus-v1.pdf</v>
      </c>
      <c r="I23" s="6" t="s">
        <v>139</v>
      </c>
    </row>
    <row r="24" spans="1:9" ht="30" x14ac:dyDescent="0.25">
      <c r="A24" s="3">
        <v>2024</v>
      </c>
      <c r="B24" s="3">
        <v>14</v>
      </c>
      <c r="C24" s="4" t="s">
        <v>56</v>
      </c>
      <c r="D24" s="4" t="s">
        <v>57</v>
      </c>
      <c r="E24" s="5">
        <v>45630</v>
      </c>
      <c r="F24" s="4" t="s">
        <v>58</v>
      </c>
      <c r="G24" s="6" t="s">
        <v>191</v>
      </c>
      <c r="H24" s="2" t="str">
        <f>_xlfn.LET(_xlpm.n,IFERROR(_xlfn.TEXTAFTER(Tracts[[#This Row],[URL PDF]],"/",-1),Tracts[[#This Row],[URL PDF]]),SUBSTITUTE(SUBSTITUTE(SUBSTITUTE(SUBSTITUTE(_xlpm.n,"%20"," "),"%27","'"),"%C3%A9","é"),"%C3%A8","è"))</f>
        <v>2024-12-04_Mobilisations_et_elections_TPE.pdf</v>
      </c>
      <c r="I24" s="6" t="s">
        <v>140</v>
      </c>
    </row>
    <row r="25" spans="1:9" ht="30" x14ac:dyDescent="0.25">
      <c r="A25" s="3">
        <v>2024</v>
      </c>
      <c r="B25" s="3">
        <v>13</v>
      </c>
      <c r="C25" s="4" t="s">
        <v>53</v>
      </c>
      <c r="D25" s="4" t="s">
        <v>54</v>
      </c>
      <c r="E25" s="4" t="s">
        <v>237</v>
      </c>
      <c r="F25" s="4" t="s">
        <v>55</v>
      </c>
      <c r="G25" s="6" t="s">
        <v>192</v>
      </c>
      <c r="H25" s="2" t="str">
        <f>_xlfn.LET(_xlpm.n,IFERROR(_xlfn.TEXTAFTER(Tracts[[#This Row],[URL PDF]],"/",-1),Tracts[[#This Row],[URL PDF]]),SUBSTITUTE(SUBSTITUTE(SUBSTITUTE(SUBSTITUTE(_xlpm.n,"%20"," "),"%27","'"),"%C3%A9","é"),"%C3%A8","è"))</f>
        <v>tract_bilan_rcc24_v4.pdf</v>
      </c>
      <c r="I25" s="6" t="s">
        <v>141</v>
      </c>
    </row>
    <row r="26" spans="1:9" ht="30" x14ac:dyDescent="0.25">
      <c r="A26" s="3">
        <v>2024</v>
      </c>
      <c r="B26" s="3">
        <v>12</v>
      </c>
      <c r="C26" s="4" t="s">
        <v>50</v>
      </c>
      <c r="D26" s="4" t="s">
        <v>51</v>
      </c>
      <c r="E26" s="5">
        <v>45453</v>
      </c>
      <c r="F26" s="4" t="s">
        <v>52</v>
      </c>
      <c r="G26" s="6" t="s">
        <v>193</v>
      </c>
      <c r="H26" s="2" t="str">
        <f>_xlfn.LET(_xlpm.n,IFERROR(_xlfn.TEXTAFTER(Tracts[[#This Row],[URL PDF]],"/",-1),Tracts[[#This Row],[URL PDF]]),SUBSTITUTE(SUBSTITUTE(SUBSTITUTE(SUBSTITUTE(_xlpm.n,"%20"," "),"%27","'"),"%C3%A9","é"),"%C3%A8","è"))</f>
        <v>tract_democratie_rcc_salaires_v2.pdf</v>
      </c>
      <c r="I26" s="6" t="s">
        <v>142</v>
      </c>
    </row>
    <row r="27" spans="1:9" x14ac:dyDescent="0.25">
      <c r="A27" s="3">
        <v>2024</v>
      </c>
      <c r="B27" s="3">
        <v>11</v>
      </c>
      <c r="C27" s="4" t="s">
        <v>47</v>
      </c>
      <c r="D27" s="4" t="s">
        <v>48</v>
      </c>
      <c r="E27" s="5">
        <v>45386</v>
      </c>
      <c r="F27" s="4" t="s">
        <v>49</v>
      </c>
      <c r="G27" s="6" t="s">
        <v>194</v>
      </c>
      <c r="H27" s="2" t="str">
        <f>_xlfn.LET(_xlpm.n,IFERROR(_xlfn.TEXTAFTER(Tracts[[#This Row],[URL PDF]],"/",-1),Tracts[[#This Row],[URL PDF]]),SUBSTITUTE(SUBSTITUTE(SUBSTITUTE(SUBSTITUTE(_xlpm.n,"%20"," "),"%27","'"),"%C3%A9","é"),"%C3%A8","è"))</f>
        <v>Profession_de_Foi_CGT_elections_FCPAN_2024_VF_V3.pdf</v>
      </c>
      <c r="I27" s="6" t="s">
        <v>143</v>
      </c>
    </row>
    <row r="28" spans="1:9" x14ac:dyDescent="0.25">
      <c r="A28" s="3">
        <v>2024</v>
      </c>
      <c r="B28" s="3">
        <v>10</v>
      </c>
      <c r="C28" s="4" t="s">
        <v>44</v>
      </c>
      <c r="D28" s="4" t="s">
        <v>45</v>
      </c>
      <c r="E28" s="5">
        <v>45366</v>
      </c>
      <c r="F28" s="4" t="s">
        <v>46</v>
      </c>
      <c r="G28" s="6" t="s">
        <v>195</v>
      </c>
      <c r="H28" s="2" t="str">
        <f>_xlfn.LET(_xlpm.n,IFERROR(_xlfn.TEXTAFTER(Tracts[[#This Row],[URL PDF]],"/",-1),Tracts[[#This Row],[URL PDF]]),SUBSTITUTE(SUBSTITUTE(SUBSTITUTE(SUBSTITUTE(_xlpm.n,"%20"," "),"%27","'"),"%C3%A9","é"),"%C3%A8","è"))</f>
        <v>tract_retour_salaires_2024_v1.pdf</v>
      </c>
      <c r="I28" s="6" t="s">
        <v>144</v>
      </c>
    </row>
    <row r="29" spans="1:9" ht="30" x14ac:dyDescent="0.25">
      <c r="A29" s="3">
        <v>2024</v>
      </c>
      <c r="B29" s="3">
        <v>9</v>
      </c>
      <c r="C29" s="4" t="s">
        <v>41</v>
      </c>
      <c r="D29" s="4" t="s">
        <v>42</v>
      </c>
      <c r="E29" s="5">
        <v>45314</v>
      </c>
      <c r="F29" s="4" t="s">
        <v>43</v>
      </c>
      <c r="G29" s="6" t="s">
        <v>196</v>
      </c>
      <c r="H29" s="2" t="str">
        <f>_xlfn.LET(_xlpm.n,IFERROR(_xlfn.TEXTAFTER(Tracts[[#This Row],[URL PDF]],"/",-1),Tracts[[#This Row],[URL PDF]]),SUBSTITUTE(SUBSTITUTE(SUBSTITUTE(SUBSTITUTE(_xlpm.n,"%20"," "),"%27","'"),"%C3%A9","é"),"%C3%A8","è"))</f>
        <v>reorg-mn-V3.pdf</v>
      </c>
      <c r="I29" s="6" t="s">
        <v>145</v>
      </c>
    </row>
    <row r="30" spans="1:9" ht="30" x14ac:dyDescent="0.25">
      <c r="A30" s="3">
        <v>2023</v>
      </c>
      <c r="B30" s="3">
        <v>8</v>
      </c>
      <c r="C30" s="4" t="s">
        <v>38</v>
      </c>
      <c r="D30" s="4" t="s">
        <v>39</v>
      </c>
      <c r="E30" s="5">
        <v>45281</v>
      </c>
      <c r="F30" s="4" t="s">
        <v>40</v>
      </c>
      <c r="G30" s="6" t="s">
        <v>197</v>
      </c>
      <c r="H30" s="2" t="str">
        <f>_xlfn.LET(_xlpm.n,IFERROR(_xlfn.TEXTAFTER(Tracts[[#This Row],[URL PDF]],"/",-1),Tracts[[#This Row],[URL PDF]]),SUBSTITUTE(SUBSTITUTE(SUBSTITUTE(SUBSTITUTE(_xlpm.n,"%20"," "),"%27","'"),"%C3%A9","é"),"%C3%A8","è"))</f>
        <v>tract-noel-2023-V3.pdf</v>
      </c>
      <c r="I30" s="6" t="s">
        <v>146</v>
      </c>
    </row>
    <row r="31" spans="1:9" ht="30" x14ac:dyDescent="0.25">
      <c r="A31" s="3">
        <v>2023</v>
      </c>
      <c r="B31" s="3">
        <v>7</v>
      </c>
      <c r="C31" s="4" t="s">
        <v>36</v>
      </c>
      <c r="D31" s="4" t="s">
        <v>36</v>
      </c>
      <c r="E31" s="4" t="s">
        <v>238</v>
      </c>
      <c r="F31" s="4" t="s">
        <v>37</v>
      </c>
      <c r="G31" s="6" t="s">
        <v>198</v>
      </c>
      <c r="H31" s="2" t="str">
        <f>_xlfn.LET(_xlpm.n,IFERROR(_xlfn.TEXTAFTER(Tracts[[#This Row],[URL PDF]],"/",-1),Tracts[[#This Row],[URL PDF]]),SUBSTITUTE(SUBSTITUTE(SUBSTITUTE(SUBSTITUTE(_xlpm.n,"%20"," "),"%27","'"),"%C3%A9","é"),"%C3%A8","è"))</f>
        <v>ncc cotation 3.pdf</v>
      </c>
      <c r="I31" s="6" t="s">
        <v>147</v>
      </c>
    </row>
    <row r="32" spans="1:9" ht="30" x14ac:dyDescent="0.25">
      <c r="A32" s="3">
        <v>2023</v>
      </c>
      <c r="B32" s="3">
        <v>6</v>
      </c>
      <c r="C32" s="4" t="s">
        <v>33</v>
      </c>
      <c r="D32" s="4" t="s">
        <v>34</v>
      </c>
      <c r="E32" s="5">
        <v>45236</v>
      </c>
      <c r="F32" s="4" t="s">
        <v>35</v>
      </c>
      <c r="G32" s="6" t="s">
        <v>199</v>
      </c>
      <c r="H32" s="2" t="str">
        <f>_xlfn.LET(_xlpm.n,IFERROR(_xlfn.TEXTAFTER(Tracts[[#This Row],[URL PDF]],"/",-1),Tracts[[#This Row],[URL PDF]]),SUBSTITUTE(SUBSTITUTE(SUBSTITUTE(SUBSTITUTE(_xlpm.n,"%20"," "),"%27","'"),"%C3%A9","é"),"%C3%A8","è"))</f>
        <v>tract_annonces_pekka_06_11_2023.pdf</v>
      </c>
      <c r="I32" s="6" t="s">
        <v>148</v>
      </c>
    </row>
    <row r="33" spans="1:9" ht="30" x14ac:dyDescent="0.25">
      <c r="A33" s="3">
        <v>2023</v>
      </c>
      <c r="B33" s="3">
        <v>5</v>
      </c>
      <c r="C33" s="4" t="s">
        <v>31</v>
      </c>
      <c r="D33" s="4" t="s">
        <v>31</v>
      </c>
      <c r="E33" s="5">
        <v>45219</v>
      </c>
      <c r="F33" s="4" t="s">
        <v>32</v>
      </c>
      <c r="G33" s="6" t="s">
        <v>200</v>
      </c>
      <c r="H33" s="2" t="str">
        <f>_xlfn.LET(_xlpm.n,IFERROR(_xlfn.TEXTAFTER(Tracts[[#This Row],[URL PDF]],"/",-1),Tracts[[#This Row],[URL PDF]]),SUBSTITUTE(SUBSTITUTE(SUBSTITUTE(SUBSTITUTE(_xlpm.n,"%20"," "),"%27","'"),"%C3%A9","é"),"%C3%A8","è"))</f>
        <v>tract_militants_nord.pdf</v>
      </c>
      <c r="I33" s="6" t="s">
        <v>224</v>
      </c>
    </row>
    <row r="34" spans="1:9" ht="45" x14ac:dyDescent="0.25">
      <c r="A34" s="3">
        <v>2023</v>
      </c>
      <c r="B34" s="3">
        <v>4</v>
      </c>
      <c r="C34" s="4" t="s">
        <v>28</v>
      </c>
      <c r="D34" s="4" t="s">
        <v>29</v>
      </c>
      <c r="E34" s="5">
        <v>45209</v>
      </c>
      <c r="F34" s="4" t="s">
        <v>30</v>
      </c>
      <c r="G34" s="6" t="s">
        <v>201</v>
      </c>
      <c r="H34" s="2" t="str">
        <f>_xlfn.LET(_xlpm.n,IFERROR(_xlfn.TEXTAFTER(Tracts[[#This Row],[URL PDF]],"/",-1),Tracts[[#This Row],[URL PDF]]),SUBSTITUTE(SUBSTITUTE(SUBSTITUTE(SUBSTITUTE(_xlpm.n,"%20"," "),"%27","'"),"%C3%A9","é"),"%C3%A8","è"))</f>
        <v>tract com nokia final.pdf</v>
      </c>
      <c r="I34" s="6" t="s">
        <v>149</v>
      </c>
    </row>
    <row r="35" spans="1:9" ht="30" x14ac:dyDescent="0.25">
      <c r="A35" s="3">
        <v>2023</v>
      </c>
      <c r="B35" s="3">
        <v>3</v>
      </c>
      <c r="C35" s="4" t="s">
        <v>25</v>
      </c>
      <c r="D35" s="4" t="s">
        <v>26</v>
      </c>
      <c r="E35" s="5">
        <v>45196</v>
      </c>
      <c r="F35" s="4" t="s">
        <v>27</v>
      </c>
      <c r="G35" s="6" t="s">
        <v>202</v>
      </c>
      <c r="H35" s="2" t="str">
        <f>_xlfn.LET(_xlpm.n,IFERROR(_xlfn.TEXTAFTER(Tracts[[#This Row],[URL PDF]],"/",-1),Tracts[[#This Row],[URL PDF]]),SUBSTITUTE(SUBSTITUTE(SUBSTITUTE(SUBSTITUTE(_xlpm.n,"%20"," "),"%27","'"),"%C3%A9","é"),"%C3%A8","è"))</f>
        <v>midpoints.pdf</v>
      </c>
      <c r="I35" s="6" t="s">
        <v>150</v>
      </c>
    </row>
    <row r="36" spans="1:9" ht="30" x14ac:dyDescent="0.25">
      <c r="A36" s="3">
        <v>2023</v>
      </c>
      <c r="B36" s="3">
        <v>2</v>
      </c>
      <c r="C36" s="4" t="s">
        <v>22</v>
      </c>
      <c r="D36" s="4" t="s">
        <v>23</v>
      </c>
      <c r="E36" s="5">
        <v>45190</v>
      </c>
      <c r="F36" s="4" t="s">
        <v>24</v>
      </c>
      <c r="G36" s="6" t="s">
        <v>203</v>
      </c>
      <c r="H36" s="2" t="str">
        <f>_xlfn.LET(_xlpm.n,IFERROR(_xlfn.TEXTAFTER(Tracts[[#This Row],[URL PDF]],"/",-1),Tracts[[#This Row],[URL PDF]]),SUBSTITUTE(SUBSTITUTE(SUBSTITUTE(SUBSTITUTE(_xlpm.n,"%20"," "),"%27","'"),"%C3%A9","é"),"%C3%A8","è"))</f>
        <v>Tract Volontariat RCC.pdf</v>
      </c>
      <c r="I36" s="6" t="s">
        <v>151</v>
      </c>
    </row>
    <row r="37" spans="1:9" ht="45" x14ac:dyDescent="0.25">
      <c r="A37" s="3">
        <v>2023</v>
      </c>
      <c r="B37" s="3">
        <v>1</v>
      </c>
      <c r="C37" s="4" t="s">
        <v>20</v>
      </c>
      <c r="D37" s="4" t="s">
        <v>20</v>
      </c>
      <c r="E37" s="5">
        <v>45037</v>
      </c>
      <c r="F37" s="4" t="s">
        <v>21</v>
      </c>
      <c r="G37" s="6" t="s">
        <v>204</v>
      </c>
      <c r="H37" s="2" t="str">
        <f>_xlfn.LET(_xlpm.n,IFERROR(_xlfn.TEXTAFTER(Tracts[[#This Row],[URL PDF]],"/",-1),Tracts[[#This Row],[URL PDF]]),SUBSTITUTE(SUBSTITUTE(SUBSTITUTE(SUBSTITUTE(_xlpm.n,"%20"," "),"%27","'"),"%C3%A9","é"),"%C3%A8","è"))</f>
        <v>Tract brèves de printemps.pdf</v>
      </c>
      <c r="I37" s="6" t="s">
        <v>152</v>
      </c>
    </row>
    <row r="38" spans="1:9" ht="45" x14ac:dyDescent="0.25">
      <c r="A38" s="3">
        <v>2022</v>
      </c>
      <c r="B38" s="3">
        <v>102</v>
      </c>
      <c r="C38" s="4" t="s">
        <v>3</v>
      </c>
      <c r="D38" s="4" t="s">
        <v>4</v>
      </c>
      <c r="E38" s="5" t="s">
        <v>225</v>
      </c>
      <c r="F38" s="4" t="s">
        <v>4</v>
      </c>
      <c r="G38" s="6" t="s">
        <v>205</v>
      </c>
      <c r="H38" s="2" t="str">
        <f>_xlfn.LET(_xlpm.n,IFERROR(_xlfn.TEXTAFTER(Tracts[[#This Row],[URL PDF]],"/",-1),Tracts[[#This Row],[URL PDF]]),SUBSTITUTE(SUBSTITUTE(SUBSTITUTE(SUBSTITUTE(_xlpm.n,"%20"," "),"%27","'"),"%C3%A9","é"),"%C3%A8","è"))</f>
        <v>Tract_Santé_Prévoyance_Mars_2022 nps.pdf</v>
      </c>
      <c r="I38" s="6" t="s">
        <v>153</v>
      </c>
    </row>
    <row r="39" spans="1:9" ht="45" x14ac:dyDescent="0.25">
      <c r="A39" s="3">
        <v>2022</v>
      </c>
      <c r="B39" s="3">
        <v>103</v>
      </c>
      <c r="C39" s="4" t="s">
        <v>5</v>
      </c>
      <c r="D39" s="4" t="s">
        <v>4</v>
      </c>
      <c r="E39" s="5" t="s">
        <v>226</v>
      </c>
      <c r="F39" s="4" t="s">
        <v>4</v>
      </c>
      <c r="G39" s="6" t="s">
        <v>206</v>
      </c>
      <c r="H39" s="2" t="str">
        <f>_xlfn.LET(_xlpm.n,IFERROR(_xlfn.TEXTAFTER(Tracts[[#This Row],[URL PDF]],"/",-1),Tracts[[#This Row],[URL PDF]]),SUBSTITUTE(SUBSTITUTE(SUBSTITUTE(SUBSTITUTE(_xlpm.n,"%20"," "),"%27","'"),"%C3%A9","é"),"%C3%A8","è"))</f>
        <v>Tract CGT desaccords en cascade 03-06-2022.pdf</v>
      </c>
      <c r="I39" s="6" t="s">
        <v>154</v>
      </c>
    </row>
    <row r="40" spans="1:9" ht="45" x14ac:dyDescent="0.25">
      <c r="A40" s="3">
        <v>2022</v>
      </c>
      <c r="B40" s="3">
        <v>104</v>
      </c>
      <c r="C40" s="4" t="s">
        <v>6</v>
      </c>
      <c r="D40" s="4" t="s">
        <v>4</v>
      </c>
      <c r="E40" s="5" t="s">
        <v>227</v>
      </c>
      <c r="F40" s="4" t="s">
        <v>4</v>
      </c>
      <c r="G40" s="6" t="s">
        <v>207</v>
      </c>
      <c r="H40" s="2" t="str">
        <f>_xlfn.LET(_xlpm.n,IFERROR(_xlfn.TEXTAFTER(Tracts[[#This Row],[URL PDF]],"/",-1),Tracts[[#This Row],[URL PDF]]),SUBSTITUTE(SUBSTITUTE(SUBSTITUTE(SUBSTITUTE(_xlpm.n,"%20"," "),"%27","'"),"%C3%A9","é"),"%C3%A8","è"))</f>
        <v>Tract brèves d'été.pdf</v>
      </c>
      <c r="I40" s="6" t="s">
        <v>155</v>
      </c>
    </row>
    <row r="41" spans="1:9" ht="45" x14ac:dyDescent="0.25">
      <c r="A41" s="3">
        <v>2022</v>
      </c>
      <c r="B41" s="3">
        <v>105</v>
      </c>
      <c r="C41" s="4" t="s">
        <v>7</v>
      </c>
      <c r="D41" s="4" t="s">
        <v>4</v>
      </c>
      <c r="E41" s="5" t="s">
        <v>228</v>
      </c>
      <c r="F41" s="4" t="s">
        <v>4</v>
      </c>
      <c r="G41" s="6" t="s">
        <v>208</v>
      </c>
      <c r="H41" s="2" t="str">
        <f>_xlfn.LET(_xlpm.n,IFERROR(_xlfn.TEXTAFTER(Tracts[[#This Row],[URL PDF]],"/",-1),Tracts[[#This Row],[URL PDF]]),SUBSTITUTE(SUBSTITUTE(SUBSTITUTE(SUBSTITUTE(_xlpm.n,"%20"," "),"%27","'"),"%C3%A9","é"),"%C3%A8","è"))</f>
        <v>Tract demenagement 06-09-22.pdf</v>
      </c>
      <c r="I41" s="6" t="s">
        <v>156</v>
      </c>
    </row>
    <row r="42" spans="1:9" ht="45" x14ac:dyDescent="0.25">
      <c r="A42" s="3">
        <v>2022</v>
      </c>
      <c r="B42" s="3">
        <v>106</v>
      </c>
      <c r="C42" s="4" t="s">
        <v>8</v>
      </c>
      <c r="D42" s="4" t="s">
        <v>4</v>
      </c>
      <c r="E42" s="5" t="s">
        <v>229</v>
      </c>
      <c r="F42" s="4" t="s">
        <v>4</v>
      </c>
      <c r="G42" s="6" t="s">
        <v>209</v>
      </c>
      <c r="H42" s="2" t="str">
        <f>_xlfn.LET(_xlpm.n,IFERROR(_xlfn.TEXTAFTER(Tracts[[#This Row],[URL PDF]],"/",-1),Tracts[[#This Row],[URL PDF]]),SUBSTITUTE(SUBSTITUTE(SUBSTITUTE(SUBSTITUTE(_xlpm.n,"%20"," "),"%27","'"),"%C3%A9","é"),"%C3%A8","è"))</f>
        <v>Manif29septembre CandidaturesElection.pdf</v>
      </c>
      <c r="I42" s="6" t="s">
        <v>157</v>
      </c>
    </row>
    <row r="43" spans="1:9" ht="45" x14ac:dyDescent="0.25">
      <c r="A43" s="3">
        <v>2022</v>
      </c>
      <c r="B43" s="3">
        <v>107</v>
      </c>
      <c r="C43" s="4" t="s">
        <v>9</v>
      </c>
      <c r="D43" s="4" t="s">
        <v>4</v>
      </c>
      <c r="E43" s="5"/>
      <c r="F43" s="4" t="s">
        <v>4</v>
      </c>
      <c r="G43" s="6" t="s">
        <v>210</v>
      </c>
      <c r="H43" s="2" t="str">
        <f>_xlfn.LET(_xlpm.n,IFERROR(_xlfn.TEXTAFTER(Tracts[[#This Row],[URL PDF]],"/",-1),Tracts[[#This Row],[URL PDF]]),SUBSTITUTE(SUBSTITUTE(SUBSTITUTE(SUBSTITUTE(_xlpm.n,"%20"," "),"%27","'"),"%C3%A9","é"),"%C3%A8","è"))</f>
        <v>Ce que veulent les Cadres -Synthèse Baromètre Cadres UGICT Viavoice octobre 2022.pdf</v>
      </c>
      <c r="I43" s="6" t="s">
        <v>158</v>
      </c>
    </row>
    <row r="44" spans="1:9" ht="45" x14ac:dyDescent="0.25">
      <c r="A44" s="3">
        <v>2022</v>
      </c>
      <c r="B44" s="3">
        <v>108</v>
      </c>
      <c r="C44" s="4" t="s">
        <v>10</v>
      </c>
      <c r="D44" s="4" t="s">
        <v>4</v>
      </c>
      <c r="E44" s="5" t="s">
        <v>230</v>
      </c>
      <c r="F44" s="4" t="s">
        <v>4</v>
      </c>
      <c r="G44" s="6" t="s">
        <v>211</v>
      </c>
      <c r="H44" s="2" t="str">
        <f>_xlfn.LET(_xlpm.n,IFERROR(_xlfn.TEXTAFTER(Tracts[[#This Row],[URL PDF]],"/",-1),Tracts[[#This Row],[URL PDF]]),SUBSTITUTE(SUBSTITUTE(SUBSTITUTE(SUBSTITUTE(_xlpm.n,"%20"," "),"%27","'"),"%C3%A9","é"),"%C3%A8","è"))</f>
        <v>Retour Sondage CGT Navettes Octobre 2022.pdf</v>
      </c>
      <c r="I44" s="6" t="s">
        <v>159</v>
      </c>
    </row>
    <row r="45" spans="1:9" ht="45" x14ac:dyDescent="0.25">
      <c r="A45" s="3">
        <v>2022</v>
      </c>
      <c r="B45" s="3">
        <v>109</v>
      </c>
      <c r="C45" s="4" t="s">
        <v>11</v>
      </c>
      <c r="D45" s="4" t="s">
        <v>4</v>
      </c>
      <c r="E45" s="5" t="s">
        <v>231</v>
      </c>
      <c r="F45" s="4" t="s">
        <v>4</v>
      </c>
      <c r="G45" s="6" t="s">
        <v>212</v>
      </c>
      <c r="H45" s="2" t="str">
        <f>_xlfn.LET(_xlpm.n,IFERROR(_xlfn.TEXTAFTER(Tracts[[#This Row],[URL PDF]],"/",-1),Tracts[[#This Row],[URL PDF]]),SUBSTITUTE(SUBSTITUTE(SUBSTITUTE(SUBSTITUTE(_xlpm.n,"%20"," "),"%27","'"),"%C3%A9","é"),"%C3%A8","è"))</f>
        <v>Les Navettes Quelle Galère 09_11_2022.pdf</v>
      </c>
      <c r="I45" s="6" t="s">
        <v>160</v>
      </c>
    </row>
    <row r="46" spans="1:9" ht="45" x14ac:dyDescent="0.25">
      <c r="A46" s="3">
        <v>2022</v>
      </c>
      <c r="B46" s="3">
        <v>110</v>
      </c>
      <c r="C46" s="4" t="s">
        <v>12</v>
      </c>
      <c r="D46" s="4" t="s">
        <v>4</v>
      </c>
      <c r="E46" s="5" t="s">
        <v>231</v>
      </c>
      <c r="F46" s="4" t="s">
        <v>4</v>
      </c>
      <c r="G46" s="6" t="s">
        <v>213</v>
      </c>
      <c r="H46" s="2" t="str">
        <f>_xlfn.LET(_xlpm.n,IFERROR(_xlfn.TEXTAFTER(Tracts[[#This Row],[URL PDF]],"/",-1),Tracts[[#This Row],[URL PDF]]),SUBSTITUTE(SUBSTITUTE(SUBSTITUTE(SUBSTITUTE(_xlpm.n,"%20"," "),"%27","'"),"%C3%A9","é"),"%C3%A8","è"))</f>
        <v>Radar Travail et Environnement 09_11_2022.pdf</v>
      </c>
      <c r="I46" s="6" t="s">
        <v>161</v>
      </c>
    </row>
    <row r="47" spans="1:9" ht="45" x14ac:dyDescent="0.25">
      <c r="A47" s="3">
        <v>2022</v>
      </c>
      <c r="B47" s="3">
        <v>111</v>
      </c>
      <c r="C47" s="4" t="s">
        <v>13</v>
      </c>
      <c r="D47" s="4" t="s">
        <v>4</v>
      </c>
      <c r="E47" s="5" t="s">
        <v>232</v>
      </c>
      <c r="F47" s="4" t="s">
        <v>4</v>
      </c>
      <c r="G47" s="6" t="s">
        <v>214</v>
      </c>
      <c r="H47" s="2" t="str">
        <f>_xlfn.LET(_xlpm.n,IFERROR(_xlfn.TEXTAFTER(Tracts[[#This Row],[URL PDF]],"/",-1),Tracts[[#This Row],[URL PDF]]),SUBSTITUTE(SUBSTITUTE(SUBSTITUTE(SUBSTITUTE(_xlpm.n,"%20"," "),"%27","'"),"%C3%A9","é"),"%C3%A8","è"))</f>
        <v>Le saviez-vous 12_11_2022.pdf</v>
      </c>
      <c r="I47" s="6" t="s">
        <v>162</v>
      </c>
    </row>
    <row r="48" spans="1:9" ht="45" x14ac:dyDescent="0.25">
      <c r="A48" s="3">
        <v>2022</v>
      </c>
      <c r="B48" s="3">
        <v>112</v>
      </c>
      <c r="C48" s="4" t="s">
        <v>14</v>
      </c>
      <c r="D48" s="4" t="s">
        <v>4</v>
      </c>
      <c r="E48" s="5" t="s">
        <v>232</v>
      </c>
      <c r="F48" s="4" t="s">
        <v>4</v>
      </c>
      <c r="G48" s="6" t="s">
        <v>215</v>
      </c>
      <c r="H48" s="2" t="str">
        <f>_xlfn.LET(_xlpm.n,IFERROR(_xlfn.TEXTAFTER(Tracts[[#This Row],[URL PDF]],"/",-1),Tracts[[#This Row],[URL PDF]]),SUBSTITUTE(SUBSTITUTE(SUBSTITUTE(SUBSTITUTE(_xlpm.n,"%20"," "),"%27","'"),"%C3%A9","é"),"%C3%A8","è"))</f>
        <v>Points sur les i 12_11_2022.pdf</v>
      </c>
      <c r="I48" s="6" t="s">
        <v>163</v>
      </c>
    </row>
    <row r="49" spans="1:9" ht="45" x14ac:dyDescent="0.25">
      <c r="A49" s="3">
        <v>2022</v>
      </c>
      <c r="B49" s="3">
        <v>113</v>
      </c>
      <c r="C49" s="4" t="s">
        <v>15</v>
      </c>
      <c r="D49" s="4" t="s">
        <v>4</v>
      </c>
      <c r="E49" s="5" t="s">
        <v>233</v>
      </c>
      <c r="F49" s="4" t="s">
        <v>4</v>
      </c>
      <c r="G49" s="6" t="s">
        <v>216</v>
      </c>
      <c r="H49" s="2" t="str">
        <f>_xlfn.LET(_xlpm.n,IFERROR(_xlfn.TEXTAFTER(Tracts[[#This Row],[URL PDF]],"/",-1),Tracts[[#This Row],[URL PDF]]),SUBSTITUTE(SUBSTITUTE(SUBSTITUTE(SUBSTITUTE(_xlpm.n,"%20"," "),"%27","'"),"%C3%A9","é"),"%C3%A8","è"))</f>
        <v>Elections Pro - Choisir son camp.pdf</v>
      </c>
      <c r="I49" s="6" t="s">
        <v>164</v>
      </c>
    </row>
    <row r="50" spans="1:9" ht="45" x14ac:dyDescent="0.25">
      <c r="A50" s="3">
        <v>2022</v>
      </c>
      <c r="B50" s="3">
        <v>114</v>
      </c>
      <c r="C50" s="4" t="s">
        <v>16</v>
      </c>
      <c r="D50" s="4" t="s">
        <v>4</v>
      </c>
      <c r="E50" s="5" t="s">
        <v>234</v>
      </c>
      <c r="F50" s="4" t="s">
        <v>4</v>
      </c>
      <c r="G50" s="6" t="s">
        <v>217</v>
      </c>
      <c r="H50" s="2" t="str">
        <f>_xlfn.LET(_xlpm.n,IFERROR(_xlfn.TEXTAFTER(Tracts[[#This Row],[URL PDF]],"/",-1),Tracts[[#This Row],[URL PDF]]),SUBSTITUTE(SUBSTITUTE(SUBSTITUTE(SUBSTITUTE(_xlpm.n,"%20"," "),"%27","'"),"%C3%A9","é"),"%C3%A8","è"))</f>
        <v>Enjeu Salaires2022.pdf</v>
      </c>
      <c r="I50" s="6" t="s">
        <v>165</v>
      </c>
    </row>
    <row r="51" spans="1:9" ht="45" x14ac:dyDescent="0.25">
      <c r="A51" s="3">
        <v>2022</v>
      </c>
      <c r="B51" s="3">
        <v>115</v>
      </c>
      <c r="C51" s="4" t="s">
        <v>17</v>
      </c>
      <c r="D51" s="4" t="s">
        <v>4</v>
      </c>
      <c r="E51" s="5" t="s">
        <v>235</v>
      </c>
      <c r="F51" s="4" t="s">
        <v>4</v>
      </c>
      <c r="G51" s="6" t="s">
        <v>218</v>
      </c>
      <c r="H51" s="2" t="str">
        <f>_xlfn.LET(_xlpm.n,IFERROR(_xlfn.TEXTAFTER(Tracts[[#This Row],[URL PDF]],"/",-1),Tracts[[#This Row],[URL PDF]]),SUBSTITUTE(SUBSTITUTE(SUBSTITUTE(SUBSTITUTE(_xlpm.n,"%20"," "),"%27","'"),"%C3%A9","é"),"%C3%A8","è"))</f>
        <v>Tract Sondages.pdf</v>
      </c>
      <c r="I51" s="6" t="s">
        <v>166</v>
      </c>
    </row>
    <row r="52" spans="1:9" ht="45" x14ac:dyDescent="0.25">
      <c r="A52" s="3">
        <v>2022</v>
      </c>
      <c r="B52" s="3">
        <v>116</v>
      </c>
      <c r="C52" s="4" t="s">
        <v>18</v>
      </c>
      <c r="D52" s="4" t="s">
        <v>4</v>
      </c>
      <c r="E52" s="5" t="s">
        <v>236</v>
      </c>
      <c r="F52" s="4" t="s">
        <v>4</v>
      </c>
      <c r="G52" s="6" t="s">
        <v>219</v>
      </c>
      <c r="H52" s="2" t="str">
        <f>_xlfn.LET(_xlpm.n,IFERROR(_xlfn.TEXTAFTER(Tracts[[#This Row],[URL PDF]],"/",-1),Tracts[[#This Row],[URL PDF]]),SUBSTITUTE(SUBSTITUTE(SUBSTITUTE(SUBSTITUTE(_xlpm.n,"%20"," "),"%27","'"),"%C3%A9","é"),"%C3%A8","è"))</f>
        <v>Tract_NegoTELEW.pdf</v>
      </c>
      <c r="I52" s="6" t="s">
        <v>167</v>
      </c>
    </row>
    <row r="53" spans="1:9" ht="45" x14ac:dyDescent="0.25">
      <c r="A53" s="3">
        <v>2022</v>
      </c>
      <c r="B53" s="3">
        <v>117</v>
      </c>
      <c r="C53" s="4" t="s">
        <v>19</v>
      </c>
      <c r="D53" s="4" t="s">
        <v>4</v>
      </c>
      <c r="E53" s="5"/>
      <c r="F53" s="4" t="s">
        <v>4</v>
      </c>
      <c r="G53" s="6" t="s">
        <v>220</v>
      </c>
      <c r="H53" s="2" t="str">
        <f>_xlfn.LET(_xlpm.n,IFERROR(_xlfn.TEXTAFTER(Tracts[[#This Row],[URL PDF]],"/",-1),Tracts[[#This Row],[URL PDF]]),SUBSTITUTE(SUBSTITUTE(SUBSTITUTE(SUBSTITUTE(_xlpm.n,"%20"," "),"%27","'"),"%C3%A9","é"),"%C3%A8","è"))</f>
        <v>Bilans des accords signés par la CGT.pdf</v>
      </c>
      <c r="I53" s="6" t="s">
        <v>168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71c5aaf6-e6ce-465b-b873-5148d2a4c105">AUIRPTAIMRO3-1066683228-25821</_dlc_DocId>
    <HideFromDelve xmlns="71c5aaf6-e6ce-465b-b873-5148d2a4c105">false</HideFromDelve>
    <_dlc_DocIdUrl xmlns="71c5aaf6-e6ce-465b-b873-5148d2a4c105">
      <Url>https://nokia.sharepoint.com/sites/CGT39/_layouts/15/DocIdRedir.aspx?ID=AUIRPTAIMRO3-1066683228-25821</Url>
      <Description>AUIRPTAIMRO3-1066683228-25821</Description>
    </_dlc_DocIdUrl>
    <lcf76f155ced4ddcb4097134ff3c332f xmlns="4a0c25b5-f40f-4aa1-8c63-969f2512d63e">
      <Terms xmlns="http://schemas.microsoft.com/office/infopath/2007/PartnerControls"/>
    </lcf76f155ced4ddcb4097134ff3c332f>
    <TaxCatchAll xmlns="71c5aaf6-e6ce-465b-b873-5148d2a4c1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34c87397-5fc1-491e-85e7-d6110dbe9cbd" ContentTypeId="0x0101" PreviousValue="false"/>
</file>

<file path=customXml/item5.xml><?xml version="1.0" encoding="utf-8"?>
<ct:contentTypeSchema xmlns:ct="http://schemas.microsoft.com/office/2006/metadata/contentType" xmlns:ma="http://schemas.microsoft.com/office/2006/metadata/properties/metaAttributes" ct:_="" ma:_="" ma:contentTypeName="Document" ma:contentTypeID="0x0101005C9E45C7454FD54C9F3832CA2EC2299C" ma:contentTypeVersion="18" ma:contentTypeDescription="Crée un document." ma:contentTypeScope="" ma:versionID="f12b8f105f65fc626cd1ca7eb8beb4c8">
  <xsd:schema xmlns:xsd="http://www.w3.org/2001/XMLSchema" xmlns:xs="http://www.w3.org/2001/XMLSchema" xmlns:p="http://schemas.microsoft.com/office/2006/metadata/properties" xmlns:ns2="71c5aaf6-e6ce-465b-b873-5148d2a4c105" xmlns:ns3="4a0c25b5-f40f-4aa1-8c63-969f2512d63e" xmlns:ns4="98344022-9d6c-42ca-8763-b68a110aeabc" targetNamespace="http://schemas.microsoft.com/office/2006/metadata/properties" ma:root="true" ma:fieldsID="982fd3aadd5e0000c6cf8d705096d1e3" ns2:_="" ns3:_="" ns4:_="">
    <xsd:import namespace="71c5aaf6-e6ce-465b-b873-5148d2a4c105"/>
    <xsd:import namespace="4a0c25b5-f40f-4aa1-8c63-969f2512d63e"/>
    <xsd:import namespace="98344022-9d6c-42ca-8763-b68a110aeabc"/>
    <xsd:element name="properties">
      <xsd:complexType>
        <xsd:sequence>
          <xsd:element name="documentManagement">
            <xsd:complexType>
              <xsd:all>
                <xsd:element ref="ns2:HideFromDelve" minOccurs="0"/>
                <xsd:element ref="ns3:MediaServiceMetadata" minOccurs="0"/>
                <xsd:element ref="ns3:MediaServiceFastMetadata" minOccurs="0"/>
                <xsd:element ref="ns4:SharedWithUsers" minOccurs="0"/>
                <xsd:element ref="ns4:SharedWithDetail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Location"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HideFromDelve" ma:index="8" nillable="true" ma:displayName="HideFromDelve" ma:default="0" ma:internalName="HideFromDelve">
      <xsd:simpleType>
        <xsd:restriction base="dms:Boolean"/>
      </xsd:simpleType>
    </xsd:element>
    <xsd:element name="TaxCatchAll" ma:index="17" nillable="true" ma:displayName="Taxonomy Catch All Column" ma:hidden="true" ma:list="{b30ead92-cf25-42bf-9b42-06bca6111906}" ma:internalName="TaxCatchAll" ma:showField="CatchAllData" ma:web="98344022-9d6c-42ca-8763-b68a110aeabc">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Valeur d’ID de document" ma:description="Valeur de l’ID de document affecté à cet élément." ma:indexed="true" ma:internalName="_dlc_DocId" ma:readOnly="true">
      <xsd:simpleType>
        <xsd:restriction base="dms:Text"/>
      </xsd:simpleType>
    </xsd:element>
    <xsd:element name="_dlc_DocIdUrl" ma:index="25"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a0c25b5-f40f-4aa1-8c63-969f2512d63e"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34c87397-5fc1-491e-85e7-d6110dbe9c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344022-9d6c-42ca-8763-b68a110aeabc"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885BEA-4015-49E9-923D-095DF0A2AB11}">
  <ds:schemaRefs>
    <ds:schemaRef ds:uri="http://schemas.microsoft.com/office/2006/metadata/properties"/>
    <ds:schemaRef ds:uri="http://schemas.microsoft.com/office/infopath/2007/PartnerControls"/>
    <ds:schemaRef ds:uri="71c5aaf6-e6ce-465b-b873-5148d2a4c105"/>
    <ds:schemaRef ds:uri="4a0c25b5-f40f-4aa1-8c63-969f2512d63e"/>
  </ds:schemaRefs>
</ds:datastoreItem>
</file>

<file path=customXml/itemProps2.xml><?xml version="1.0" encoding="utf-8"?>
<ds:datastoreItem xmlns:ds="http://schemas.openxmlformats.org/officeDocument/2006/customXml" ds:itemID="{8C6330F4-26D8-4877-A5DA-8563C0E07580}">
  <ds:schemaRefs>
    <ds:schemaRef ds:uri="http://schemas.microsoft.com/sharepoint/v3/contenttype/forms"/>
  </ds:schemaRefs>
</ds:datastoreItem>
</file>

<file path=customXml/itemProps3.xml><?xml version="1.0" encoding="utf-8"?>
<ds:datastoreItem xmlns:ds="http://schemas.openxmlformats.org/officeDocument/2006/customXml" ds:itemID="{0B734E2E-FD9F-4789-97DD-FE83340B014B}">
  <ds:schemaRefs>
    <ds:schemaRef ds:uri="http://schemas.microsoft.com/sharepoint/events"/>
  </ds:schemaRefs>
</ds:datastoreItem>
</file>

<file path=customXml/itemProps4.xml><?xml version="1.0" encoding="utf-8"?>
<ds:datastoreItem xmlns:ds="http://schemas.openxmlformats.org/officeDocument/2006/customXml" ds:itemID="{19799858-F311-4836-AC27-736915864C40}">
  <ds:schemaRefs>
    <ds:schemaRef ds:uri="Microsoft.SharePoint.Taxonomy.ContentTypeSync"/>
  </ds:schemaRefs>
</ds:datastoreItem>
</file>

<file path=customXml/itemProps5.xml><?xml version="1.0" encoding="utf-8"?>
<ds:datastoreItem xmlns:ds="http://schemas.openxmlformats.org/officeDocument/2006/customXml" ds:itemID="{7F886958-6714-4C6B-B8BA-2D30B483596D}"/>
</file>

<file path=docMetadata/LabelInfo.xml><?xml version="1.0" encoding="utf-8"?>
<clbl:labelList xmlns:clbl="http://schemas.microsoft.com/office/2020/mipLabelMetadata">
  <clbl:label id="{4327cfd9-47ed-48f1-9376-4ab3148935bb}" enabled="1" method="Standard" siteId="{5d471751-9675-428d-917b-70f44f9630b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Yacine El Mghazli (Nokia)</cp:lastModifiedBy>
  <dcterms:created xsi:type="dcterms:W3CDTF">2015-06-05T18:17:20Z</dcterms:created>
  <dcterms:modified xsi:type="dcterms:W3CDTF">2026-10-06T09:58:31Z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0x0101005C9E45C7454FD54C9F3832CA2EC2299C</vt:lpwstr>
  </property>
  <property fmtid="{D5CDD505-2E9C-101B-9397-08002B2CF9AE}" pid="4" name="_dlc_DocIdItemGuid">
    <vt:lpwstr>64f92b31-a70a-48fc-abee-5f868862b80d</vt:lpwstr>
  </property>
</Properties>
</file>